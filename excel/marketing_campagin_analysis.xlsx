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b5f4b1cecc12a9/Desktop/Maketing campagin analysis/excel/"/>
    </mc:Choice>
  </mc:AlternateContent>
  <xr:revisionPtr revIDLastSave="0" documentId="8_{5D667312-3319-4B9B-97D2-304B5DCFE64A}" xr6:coauthVersionLast="47" xr6:coauthVersionMax="47" xr10:uidLastSave="{00000000-0000-0000-0000-000000000000}"/>
  <bookViews>
    <workbookView xWindow="-108" yWindow="-108" windowWidth="23256" windowHeight="12456" xr2:uid="{C0D15F4A-2934-4139-84BB-3F49DFC58F2D}"/>
  </bookViews>
  <sheets>
    <sheet name="marketing_campag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1" i="1" l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<sst xmlns="http://schemas.openxmlformats.org/spreadsheetml/2006/main" count="534" uniqueCount="66">
  <si>
    <t>date</t>
  </si>
  <si>
    <t>channel</t>
  </si>
  <si>
    <t>campaign</t>
  </si>
  <si>
    <t>impressions</t>
  </si>
  <si>
    <t>clicks</t>
  </si>
  <si>
    <t>spend</t>
  </si>
  <si>
    <t>conversions</t>
  </si>
  <si>
    <t>revenue</t>
  </si>
  <si>
    <t>Organic</t>
  </si>
  <si>
    <t>Brand-9</t>
  </si>
  <si>
    <t>Brand-1</t>
  </si>
  <si>
    <t>Email</t>
  </si>
  <si>
    <t>Spring-4</t>
  </si>
  <si>
    <t>Retargeting-6</t>
  </si>
  <si>
    <t>Brand-6</t>
  </si>
  <si>
    <t>Meta Ads</t>
  </si>
  <si>
    <t>Brand-4</t>
  </si>
  <si>
    <t>Retargeting-5</t>
  </si>
  <si>
    <t>TikTok</t>
  </si>
  <si>
    <t>Spring-1</t>
  </si>
  <si>
    <t>Google Ads</t>
  </si>
  <si>
    <t>Spring-3</t>
  </si>
  <si>
    <t>Affiliate</t>
  </si>
  <si>
    <t>Brand-8</t>
  </si>
  <si>
    <t>Always-On-3</t>
  </si>
  <si>
    <t>Spring-5</t>
  </si>
  <si>
    <t>LinkedIn</t>
  </si>
  <si>
    <t>Spring-6</t>
  </si>
  <si>
    <t>Retargeting-1</t>
  </si>
  <si>
    <t>Always-On-4</t>
  </si>
  <si>
    <t>Launch-8</t>
  </si>
  <si>
    <t>Brand-5</t>
  </si>
  <si>
    <t>Always-On-7</t>
  </si>
  <si>
    <t>Spring-9</t>
  </si>
  <si>
    <t>Launch-4</t>
  </si>
  <si>
    <t>Launch-5</t>
  </si>
  <si>
    <t>Always-On-2</t>
  </si>
  <si>
    <t>Launch-3</t>
  </si>
  <si>
    <t>Retargeting-4</t>
  </si>
  <si>
    <t>Spring-8</t>
  </si>
  <si>
    <t>Always-On-5</t>
  </si>
  <si>
    <t>Always-On-6</t>
  </si>
  <si>
    <t>Launch-7</t>
  </si>
  <si>
    <t>Launch-2</t>
  </si>
  <si>
    <t>Retargeting-7</t>
  </si>
  <si>
    <t>Retargeting-2</t>
  </si>
  <si>
    <t>Always-On-1</t>
  </si>
  <si>
    <t>Launch-1</t>
  </si>
  <si>
    <t>Launch-9</t>
  </si>
  <si>
    <t>Always-On-9</t>
  </si>
  <si>
    <t>Retargeting-8</t>
  </si>
  <si>
    <t>Spring-2</t>
  </si>
  <si>
    <t>Retargeting-3</t>
  </si>
  <si>
    <t>Always-On-8</t>
  </si>
  <si>
    <t>Retargeting-9</t>
  </si>
  <si>
    <t>Launch-6</t>
  </si>
  <si>
    <t>Brand-3</t>
  </si>
  <si>
    <t>Brand-7</t>
  </si>
  <si>
    <t>Spring-7</t>
  </si>
  <si>
    <t>Brand-2</t>
  </si>
  <si>
    <t>CTR</t>
  </si>
  <si>
    <t>Conversion Rate</t>
  </si>
  <si>
    <t>CPC</t>
  </si>
  <si>
    <t>CPA</t>
  </si>
  <si>
    <t>ROAS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</si>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</sst>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C78F-67DC-4DE1-BB1B-1C37F90E95B4}">
  <dimension ref="A1:N261"/>
  <sheetViews>
    <sheetView tabSelected="1" topLeftCell="C1" workbookViewId="0">
      <selection activeCell="N3" sqref="N3:N26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</row>
    <row r="2" spans="1:14" x14ac:dyDescent="0.3">
      <c r="A2" s="1">
        <v>46077</v>
      </c>
      <c r="B2" t="s">
        <v>8</v>
      </c>
      <c r="C2" t="s">
        <v>9</v>
      </c>
      <c r="D2">
        <v>24549</v>
      </c>
      <c r="E2">
        <v>1392</v>
      </c>
      <c r="F2">
        <v>1698.24</v>
      </c>
      <c r="G2">
        <v>45</v>
      </c>
      <c r="H2">
        <v>4632.75</v>
      </c>
      <c r="I2">
        <f>E2/D2*100</f>
        <v>5.670292068923378</v>
      </c>
      <c r="J2">
        <f>G2/E2*100</f>
        <v>3.2327586206896552</v>
      </c>
      <c r="K2">
        <f>F2/E2</f>
        <v>1.22</v>
      </c>
      <c r="L2">
        <f>F2/G2</f>
        <v>37.738666666666667</v>
      </c>
      <c r="M2">
        <f>H2/F2</f>
        <v>2.7279713114754096</v>
      </c>
      <c r="N2">
        <f>(H2-F2)/F2*100</f>
        <v>172.79713114754099</v>
      </c>
    </row>
    <row r="3" spans="1:14" x14ac:dyDescent="0.3">
      <c r="A3" s="1">
        <v>46045</v>
      </c>
      <c r="B3" t="s">
        <v>8</v>
      </c>
      <c r="C3" t="s">
        <v>10</v>
      </c>
      <c r="D3">
        <v>49123</v>
      </c>
      <c r="E3">
        <v>2235</v>
      </c>
      <c r="F3">
        <v>4559.3999999999996</v>
      </c>
      <c r="G3">
        <v>40</v>
      </c>
      <c r="H3">
        <v>3373.6</v>
      </c>
      <c r="I3">
        <f t="shared" ref="I3:I66" si="0">E3/D3*100</f>
        <v>4.5498035543431792</v>
      </c>
      <c r="J3">
        <f t="shared" ref="J3:J66" si="1">G3/E3*100</f>
        <v>1.7897091722595078</v>
      </c>
      <c r="K3">
        <f t="shared" ref="K3:K66" si="2">F3/E3</f>
        <v>2.04</v>
      </c>
      <c r="L3">
        <f t="shared" ref="L3:L66" si="3">F3/G3</f>
        <v>113.98499999999999</v>
      </c>
      <c r="M3">
        <f t="shared" ref="M3:M66" si="4">H3/F3</f>
        <v>0.7399219195508181</v>
      </c>
      <c r="N3">
        <f t="shared" ref="N3:N66" si="5">(H3-F3)/F3*100</f>
        <v>-26.007808044918185</v>
      </c>
    </row>
    <row r="4" spans="1:14" x14ac:dyDescent="0.3">
      <c r="A4" s="1">
        <v>46083</v>
      </c>
      <c r="B4" t="s">
        <v>11</v>
      </c>
      <c r="C4" t="s">
        <v>12</v>
      </c>
      <c r="D4">
        <v>83777</v>
      </c>
      <c r="E4">
        <v>1215</v>
      </c>
      <c r="F4">
        <v>1518.75</v>
      </c>
      <c r="G4">
        <v>105</v>
      </c>
      <c r="H4">
        <v>12655.65</v>
      </c>
      <c r="I4">
        <f t="shared" si="0"/>
        <v>1.4502787161154016</v>
      </c>
      <c r="J4">
        <f t="shared" si="1"/>
        <v>8.6419753086419746</v>
      </c>
      <c r="K4">
        <f t="shared" si="2"/>
        <v>1.25</v>
      </c>
      <c r="L4">
        <f t="shared" si="3"/>
        <v>14.464285714285714</v>
      </c>
      <c r="M4">
        <f t="shared" si="4"/>
        <v>8.3329382716049381</v>
      </c>
      <c r="N4">
        <f t="shared" si="5"/>
        <v>733.29382716049383</v>
      </c>
    </row>
    <row r="5" spans="1:14" x14ac:dyDescent="0.3">
      <c r="A5" s="1">
        <v>46030</v>
      </c>
      <c r="B5" t="s">
        <v>8</v>
      </c>
      <c r="C5" t="s">
        <v>13</v>
      </c>
      <c r="D5">
        <v>9714</v>
      </c>
      <c r="E5">
        <v>445</v>
      </c>
      <c r="F5">
        <v>1388.4</v>
      </c>
      <c r="G5">
        <v>30</v>
      </c>
      <c r="H5">
        <v>3683.4</v>
      </c>
      <c r="I5">
        <f t="shared" si="0"/>
        <v>4.5810170887379043</v>
      </c>
      <c r="J5">
        <f t="shared" si="1"/>
        <v>6.7415730337078648</v>
      </c>
      <c r="K5">
        <f t="shared" si="2"/>
        <v>3.12</v>
      </c>
      <c r="L5">
        <f t="shared" si="3"/>
        <v>46.28</v>
      </c>
      <c r="M5">
        <f t="shared" si="4"/>
        <v>2.6529818496110629</v>
      </c>
      <c r="N5">
        <f t="shared" si="5"/>
        <v>165.2981849611063</v>
      </c>
    </row>
    <row r="6" spans="1:14" x14ac:dyDescent="0.3">
      <c r="A6" s="1">
        <v>46074</v>
      </c>
      <c r="B6" t="s">
        <v>11</v>
      </c>
      <c r="C6" t="s">
        <v>14</v>
      </c>
      <c r="D6">
        <v>45743</v>
      </c>
      <c r="E6">
        <v>2594</v>
      </c>
      <c r="F6">
        <v>5473.34</v>
      </c>
      <c r="G6">
        <v>154</v>
      </c>
      <c r="H6">
        <v>32731.16</v>
      </c>
      <c r="I6">
        <f t="shared" si="0"/>
        <v>5.6708130205714538</v>
      </c>
      <c r="J6">
        <f t="shared" si="1"/>
        <v>5.9367771781033154</v>
      </c>
      <c r="K6">
        <f t="shared" si="2"/>
        <v>2.11</v>
      </c>
      <c r="L6">
        <f t="shared" si="3"/>
        <v>35.541168831168832</v>
      </c>
      <c r="M6">
        <f t="shared" si="4"/>
        <v>5.9801072105880504</v>
      </c>
      <c r="N6">
        <f t="shared" si="5"/>
        <v>498.01072105880502</v>
      </c>
    </row>
    <row r="7" spans="1:14" x14ac:dyDescent="0.3">
      <c r="A7" s="1">
        <v>46082</v>
      </c>
      <c r="B7" t="s">
        <v>15</v>
      </c>
      <c r="C7" t="s">
        <v>16</v>
      </c>
      <c r="D7">
        <v>60750</v>
      </c>
      <c r="E7">
        <v>2163</v>
      </c>
      <c r="F7">
        <v>5147.9399999999996</v>
      </c>
      <c r="G7">
        <v>66</v>
      </c>
      <c r="H7">
        <v>6913.5</v>
      </c>
      <c r="I7">
        <f t="shared" si="0"/>
        <v>3.5604938271604936</v>
      </c>
      <c r="J7">
        <f t="shared" si="1"/>
        <v>3.0513176144244105</v>
      </c>
      <c r="K7">
        <f t="shared" si="2"/>
        <v>2.38</v>
      </c>
      <c r="L7">
        <f t="shared" si="3"/>
        <v>77.99909090909091</v>
      </c>
      <c r="M7">
        <f t="shared" si="4"/>
        <v>1.3429643702141052</v>
      </c>
      <c r="N7">
        <f t="shared" si="5"/>
        <v>34.296437021410512</v>
      </c>
    </row>
    <row r="8" spans="1:14" x14ac:dyDescent="0.3">
      <c r="A8" s="1">
        <v>46031</v>
      </c>
      <c r="B8" t="s">
        <v>11</v>
      </c>
      <c r="C8" t="s">
        <v>17</v>
      </c>
      <c r="D8">
        <v>32908</v>
      </c>
      <c r="E8">
        <v>283</v>
      </c>
      <c r="F8">
        <v>599.96</v>
      </c>
      <c r="G8">
        <v>27</v>
      </c>
      <c r="H8">
        <v>6345.54</v>
      </c>
      <c r="I8">
        <f t="shared" si="0"/>
        <v>0.8599732587820591</v>
      </c>
      <c r="J8">
        <f t="shared" si="1"/>
        <v>9.5406360424028271</v>
      </c>
      <c r="K8">
        <f t="shared" si="2"/>
        <v>2.12</v>
      </c>
      <c r="L8">
        <f t="shared" si="3"/>
        <v>22.220740740740741</v>
      </c>
      <c r="M8">
        <f t="shared" si="4"/>
        <v>10.576605107007133</v>
      </c>
      <c r="N8">
        <f t="shared" si="5"/>
        <v>957.6605107007133</v>
      </c>
    </row>
    <row r="9" spans="1:14" x14ac:dyDescent="0.3">
      <c r="A9" s="1">
        <v>46087</v>
      </c>
      <c r="B9" t="s">
        <v>18</v>
      </c>
      <c r="C9" t="s">
        <v>19</v>
      </c>
      <c r="D9">
        <v>11517</v>
      </c>
      <c r="E9">
        <v>396</v>
      </c>
      <c r="F9">
        <v>269.27999999999997</v>
      </c>
      <c r="G9">
        <v>8</v>
      </c>
      <c r="H9">
        <v>809.52</v>
      </c>
      <c r="I9">
        <f t="shared" si="0"/>
        <v>3.4383954154727796</v>
      </c>
      <c r="J9">
        <f t="shared" si="1"/>
        <v>2.0202020202020203</v>
      </c>
      <c r="K9">
        <f t="shared" si="2"/>
        <v>0.67999999999999994</v>
      </c>
      <c r="L9">
        <f t="shared" si="3"/>
        <v>33.659999999999997</v>
      </c>
      <c r="M9">
        <f t="shared" si="4"/>
        <v>3.0062388591800357</v>
      </c>
      <c r="N9">
        <f t="shared" si="5"/>
        <v>200.62388591800357</v>
      </c>
    </row>
    <row r="10" spans="1:14" x14ac:dyDescent="0.3">
      <c r="A10" s="1">
        <v>46055</v>
      </c>
      <c r="B10" t="s">
        <v>20</v>
      </c>
      <c r="C10" t="s">
        <v>12</v>
      </c>
      <c r="D10">
        <v>59070</v>
      </c>
      <c r="E10">
        <v>502</v>
      </c>
      <c r="F10">
        <v>773.08</v>
      </c>
      <c r="G10">
        <v>32</v>
      </c>
      <c r="H10">
        <v>3083.2</v>
      </c>
      <c r="I10">
        <f t="shared" si="0"/>
        <v>0.8498391738615203</v>
      </c>
      <c r="J10">
        <f t="shared" si="1"/>
        <v>6.3745019920318722</v>
      </c>
      <c r="K10">
        <f t="shared" si="2"/>
        <v>1.54</v>
      </c>
      <c r="L10">
        <f t="shared" si="3"/>
        <v>24.158750000000001</v>
      </c>
      <c r="M10">
        <f t="shared" si="4"/>
        <v>3.9882030320277329</v>
      </c>
      <c r="N10">
        <f t="shared" si="5"/>
        <v>298.82030320277329</v>
      </c>
    </row>
    <row r="11" spans="1:14" x14ac:dyDescent="0.3">
      <c r="A11" s="1">
        <v>46031</v>
      </c>
      <c r="B11" t="s">
        <v>8</v>
      </c>
      <c r="C11" t="s">
        <v>21</v>
      </c>
      <c r="D11">
        <v>26038</v>
      </c>
      <c r="E11">
        <v>1291</v>
      </c>
      <c r="F11">
        <v>903.7</v>
      </c>
      <c r="G11">
        <v>38</v>
      </c>
      <c r="H11">
        <v>6811.88</v>
      </c>
      <c r="I11">
        <f t="shared" si="0"/>
        <v>4.9581381058453031</v>
      </c>
      <c r="J11">
        <f t="shared" si="1"/>
        <v>2.943454686289698</v>
      </c>
      <c r="K11">
        <f t="shared" si="2"/>
        <v>0.70000000000000007</v>
      </c>
      <c r="L11">
        <f t="shared" si="3"/>
        <v>23.781578947368423</v>
      </c>
      <c r="M11">
        <f t="shared" si="4"/>
        <v>7.5377669580613036</v>
      </c>
      <c r="N11">
        <f t="shared" si="5"/>
        <v>653.77669580613031</v>
      </c>
    </row>
    <row r="12" spans="1:14" x14ac:dyDescent="0.3">
      <c r="A12" s="1">
        <v>46060</v>
      </c>
      <c r="B12" t="s">
        <v>22</v>
      </c>
      <c r="C12" t="s">
        <v>17</v>
      </c>
      <c r="D12">
        <v>83791</v>
      </c>
      <c r="E12">
        <v>1475</v>
      </c>
      <c r="F12">
        <v>3525.25</v>
      </c>
      <c r="G12">
        <v>168</v>
      </c>
      <c r="H12">
        <v>37789.919999999998</v>
      </c>
      <c r="I12">
        <f t="shared" si="0"/>
        <v>1.7603322552541441</v>
      </c>
      <c r="J12">
        <f t="shared" si="1"/>
        <v>11.389830508474576</v>
      </c>
      <c r="K12">
        <f t="shared" si="2"/>
        <v>2.39</v>
      </c>
      <c r="L12">
        <f t="shared" si="3"/>
        <v>20.983630952380953</v>
      </c>
      <c r="M12">
        <f t="shared" si="4"/>
        <v>10.719784412453016</v>
      </c>
      <c r="N12">
        <f t="shared" si="5"/>
        <v>971.97844124530161</v>
      </c>
    </row>
    <row r="13" spans="1:14" x14ac:dyDescent="0.3">
      <c r="A13" s="1">
        <v>46055</v>
      </c>
      <c r="B13" t="s">
        <v>11</v>
      </c>
      <c r="C13" t="s">
        <v>23</v>
      </c>
      <c r="D13">
        <v>87542</v>
      </c>
      <c r="E13">
        <v>700</v>
      </c>
      <c r="F13">
        <v>2044</v>
      </c>
      <c r="G13">
        <v>78</v>
      </c>
      <c r="H13">
        <v>9850.6200000000008</v>
      </c>
      <c r="I13">
        <f t="shared" si="0"/>
        <v>0.79961618423156888</v>
      </c>
      <c r="J13">
        <f t="shared" si="1"/>
        <v>11.142857142857142</v>
      </c>
      <c r="K13">
        <f t="shared" si="2"/>
        <v>2.92</v>
      </c>
      <c r="L13">
        <f t="shared" si="3"/>
        <v>26.205128205128204</v>
      </c>
      <c r="M13">
        <f t="shared" si="4"/>
        <v>4.8192857142857148</v>
      </c>
      <c r="N13">
        <f t="shared" si="5"/>
        <v>381.9285714285715</v>
      </c>
    </row>
    <row r="14" spans="1:14" x14ac:dyDescent="0.3">
      <c r="A14" s="1">
        <v>46093</v>
      </c>
      <c r="B14" t="s">
        <v>11</v>
      </c>
      <c r="C14" t="s">
        <v>24</v>
      </c>
      <c r="D14">
        <v>89302</v>
      </c>
      <c r="E14">
        <v>2911</v>
      </c>
      <c r="F14">
        <v>6375.09</v>
      </c>
      <c r="G14">
        <v>293</v>
      </c>
      <c r="H14">
        <v>59150.84</v>
      </c>
      <c r="I14">
        <f t="shared" si="0"/>
        <v>3.2597254260822828</v>
      </c>
      <c r="J14">
        <f t="shared" si="1"/>
        <v>10.065269666781175</v>
      </c>
      <c r="K14">
        <f t="shared" si="2"/>
        <v>2.19</v>
      </c>
      <c r="L14">
        <f t="shared" si="3"/>
        <v>21.757986348122866</v>
      </c>
      <c r="M14">
        <f t="shared" si="4"/>
        <v>9.2784321476245815</v>
      </c>
      <c r="N14">
        <f t="shared" si="5"/>
        <v>827.84321476245827</v>
      </c>
    </row>
    <row r="15" spans="1:14" x14ac:dyDescent="0.3">
      <c r="A15" s="1">
        <v>46105</v>
      </c>
      <c r="B15" t="s">
        <v>11</v>
      </c>
      <c r="C15" t="s">
        <v>25</v>
      </c>
      <c r="D15">
        <v>64911</v>
      </c>
      <c r="E15">
        <v>1383</v>
      </c>
      <c r="F15">
        <v>1521.3</v>
      </c>
      <c r="G15">
        <v>150</v>
      </c>
      <c r="H15">
        <v>32475</v>
      </c>
      <c r="I15">
        <f t="shared" si="0"/>
        <v>2.1306096039192126</v>
      </c>
      <c r="J15">
        <f t="shared" si="1"/>
        <v>10.845986984815619</v>
      </c>
      <c r="K15">
        <f t="shared" si="2"/>
        <v>1.0999999999999999</v>
      </c>
      <c r="L15">
        <f t="shared" si="3"/>
        <v>10.141999999999999</v>
      </c>
      <c r="M15">
        <f t="shared" si="4"/>
        <v>21.346874383750741</v>
      </c>
      <c r="N15">
        <f t="shared" si="5"/>
        <v>2034.6874383750742</v>
      </c>
    </row>
    <row r="16" spans="1:14" x14ac:dyDescent="0.3">
      <c r="A16" s="1">
        <v>46137</v>
      </c>
      <c r="B16" t="s">
        <v>26</v>
      </c>
      <c r="C16" t="s">
        <v>27</v>
      </c>
      <c r="D16">
        <v>4546</v>
      </c>
      <c r="E16">
        <v>47</v>
      </c>
      <c r="F16">
        <v>59.22</v>
      </c>
      <c r="G16">
        <v>3</v>
      </c>
      <c r="H16">
        <v>455.4</v>
      </c>
      <c r="I16">
        <f t="shared" si="0"/>
        <v>1.0338759348878135</v>
      </c>
      <c r="J16">
        <f t="shared" si="1"/>
        <v>6.3829787234042552</v>
      </c>
      <c r="K16">
        <f t="shared" si="2"/>
        <v>1.26</v>
      </c>
      <c r="L16">
        <f t="shared" si="3"/>
        <v>19.739999999999998</v>
      </c>
      <c r="M16">
        <f t="shared" si="4"/>
        <v>7.6899696048632213</v>
      </c>
      <c r="N16">
        <f t="shared" si="5"/>
        <v>668.99696048632211</v>
      </c>
    </row>
    <row r="17" spans="1:14" x14ac:dyDescent="0.3">
      <c r="A17" s="1">
        <v>46091</v>
      </c>
      <c r="B17" t="s">
        <v>20</v>
      </c>
      <c r="C17" t="s">
        <v>28</v>
      </c>
      <c r="D17">
        <v>48063</v>
      </c>
      <c r="E17">
        <v>509</v>
      </c>
      <c r="F17">
        <v>1501.55</v>
      </c>
      <c r="G17">
        <v>9</v>
      </c>
      <c r="H17">
        <v>764.46</v>
      </c>
      <c r="I17">
        <f t="shared" si="0"/>
        <v>1.0590266941306203</v>
      </c>
      <c r="J17">
        <f t="shared" si="1"/>
        <v>1.768172888015717</v>
      </c>
      <c r="K17">
        <f t="shared" si="2"/>
        <v>2.9499999999999997</v>
      </c>
      <c r="L17">
        <f t="shared" si="3"/>
        <v>166.83888888888887</v>
      </c>
      <c r="M17">
        <f t="shared" si="4"/>
        <v>0.50911391562052555</v>
      </c>
      <c r="N17">
        <f t="shared" si="5"/>
        <v>-49.08860843794745</v>
      </c>
    </row>
    <row r="18" spans="1:14" x14ac:dyDescent="0.3">
      <c r="A18" s="1">
        <v>46096</v>
      </c>
      <c r="B18" t="s">
        <v>18</v>
      </c>
      <c r="C18" t="s">
        <v>29</v>
      </c>
      <c r="D18">
        <v>73949</v>
      </c>
      <c r="E18">
        <v>3941</v>
      </c>
      <c r="F18">
        <v>1024.6600000000001</v>
      </c>
      <c r="G18">
        <v>108</v>
      </c>
      <c r="H18">
        <v>22837.68</v>
      </c>
      <c r="I18">
        <f t="shared" si="0"/>
        <v>5.329348605119745</v>
      </c>
      <c r="J18">
        <f t="shared" si="1"/>
        <v>2.7404212128901295</v>
      </c>
      <c r="K18">
        <f t="shared" si="2"/>
        <v>0.26</v>
      </c>
      <c r="L18">
        <f t="shared" si="3"/>
        <v>9.487592592592593</v>
      </c>
      <c r="M18">
        <f t="shared" si="4"/>
        <v>22.28805652606718</v>
      </c>
      <c r="N18">
        <f t="shared" si="5"/>
        <v>2128.8056526067185</v>
      </c>
    </row>
    <row r="19" spans="1:14" x14ac:dyDescent="0.3">
      <c r="A19" s="1">
        <v>46098</v>
      </c>
      <c r="B19" t="s">
        <v>26</v>
      </c>
      <c r="C19" t="s">
        <v>30</v>
      </c>
      <c r="D19">
        <v>43345</v>
      </c>
      <c r="E19">
        <v>2345</v>
      </c>
      <c r="F19">
        <v>3540.95</v>
      </c>
      <c r="G19">
        <v>197</v>
      </c>
      <c r="H19">
        <v>46964.800000000003</v>
      </c>
      <c r="I19">
        <f t="shared" si="0"/>
        <v>5.410081901026647</v>
      </c>
      <c r="J19">
        <f t="shared" si="1"/>
        <v>8.4008528784648195</v>
      </c>
      <c r="K19">
        <f t="shared" si="2"/>
        <v>1.51</v>
      </c>
      <c r="L19">
        <f t="shared" si="3"/>
        <v>17.974365482233502</v>
      </c>
      <c r="M19">
        <f t="shared" si="4"/>
        <v>13.263333286264986</v>
      </c>
      <c r="N19">
        <f t="shared" si="5"/>
        <v>1226.3333286264988</v>
      </c>
    </row>
    <row r="20" spans="1:14" x14ac:dyDescent="0.3">
      <c r="A20" s="1">
        <v>46051</v>
      </c>
      <c r="B20" t="s">
        <v>11</v>
      </c>
      <c r="C20" t="s">
        <v>31</v>
      </c>
      <c r="D20">
        <v>33836</v>
      </c>
      <c r="E20">
        <v>487</v>
      </c>
      <c r="F20">
        <v>564.91999999999996</v>
      </c>
      <c r="G20">
        <v>26</v>
      </c>
      <c r="H20">
        <v>711.1</v>
      </c>
      <c r="I20">
        <f t="shared" si="0"/>
        <v>1.4392954249911338</v>
      </c>
      <c r="J20">
        <f t="shared" si="1"/>
        <v>5.3388090349075972</v>
      </c>
      <c r="K20">
        <f t="shared" si="2"/>
        <v>1.1599999999999999</v>
      </c>
      <c r="L20">
        <f t="shared" si="3"/>
        <v>21.727692307692305</v>
      </c>
      <c r="M20">
        <f t="shared" si="4"/>
        <v>1.2587623026269208</v>
      </c>
      <c r="N20">
        <f t="shared" si="5"/>
        <v>25.876230262692072</v>
      </c>
    </row>
    <row r="21" spans="1:14" x14ac:dyDescent="0.3">
      <c r="A21" s="1">
        <v>46028</v>
      </c>
      <c r="B21" t="s">
        <v>20</v>
      </c>
      <c r="C21" t="s">
        <v>19</v>
      </c>
      <c r="D21">
        <v>61633</v>
      </c>
      <c r="E21">
        <v>2700</v>
      </c>
      <c r="F21">
        <v>2187</v>
      </c>
      <c r="G21">
        <v>87</v>
      </c>
      <c r="H21">
        <v>12895.14</v>
      </c>
      <c r="I21">
        <f t="shared" si="0"/>
        <v>4.3807700420229425</v>
      </c>
      <c r="J21">
        <f t="shared" si="1"/>
        <v>3.2222222222222223</v>
      </c>
      <c r="K21">
        <f t="shared" si="2"/>
        <v>0.81</v>
      </c>
      <c r="L21">
        <f t="shared" si="3"/>
        <v>25.137931034482758</v>
      </c>
      <c r="M21">
        <f t="shared" si="4"/>
        <v>5.8962688614540459</v>
      </c>
      <c r="N21">
        <f t="shared" si="5"/>
        <v>489.62688614540457</v>
      </c>
    </row>
    <row r="22" spans="1:14" x14ac:dyDescent="0.3">
      <c r="A22" s="1">
        <v>46045</v>
      </c>
      <c r="B22" t="s">
        <v>11</v>
      </c>
      <c r="C22" t="s">
        <v>32</v>
      </c>
      <c r="D22">
        <v>74822</v>
      </c>
      <c r="E22">
        <v>3397</v>
      </c>
      <c r="F22">
        <v>5095.5</v>
      </c>
      <c r="G22">
        <v>113</v>
      </c>
      <c r="H22">
        <v>17873.21</v>
      </c>
      <c r="I22">
        <f t="shared" si="0"/>
        <v>4.540108524230841</v>
      </c>
      <c r="J22">
        <f t="shared" si="1"/>
        <v>3.3264645275242857</v>
      </c>
      <c r="K22">
        <f t="shared" si="2"/>
        <v>1.5</v>
      </c>
      <c r="L22">
        <f t="shared" si="3"/>
        <v>45.092920353982301</v>
      </c>
      <c r="M22">
        <f t="shared" si="4"/>
        <v>3.5076459621234419</v>
      </c>
      <c r="N22">
        <f t="shared" si="5"/>
        <v>250.7645962123442</v>
      </c>
    </row>
    <row r="23" spans="1:14" x14ac:dyDescent="0.3">
      <c r="A23" s="1">
        <v>46116</v>
      </c>
      <c r="B23" t="s">
        <v>8</v>
      </c>
      <c r="C23" t="s">
        <v>33</v>
      </c>
      <c r="D23">
        <v>2519</v>
      </c>
      <c r="E23">
        <v>81</v>
      </c>
      <c r="F23">
        <v>213.03</v>
      </c>
      <c r="G23">
        <v>4</v>
      </c>
      <c r="H23">
        <v>699.68</v>
      </c>
      <c r="I23">
        <f t="shared" si="0"/>
        <v>3.215561730845574</v>
      </c>
      <c r="J23">
        <f t="shared" si="1"/>
        <v>4.9382716049382713</v>
      </c>
      <c r="K23">
        <f t="shared" si="2"/>
        <v>2.63</v>
      </c>
      <c r="L23">
        <f t="shared" si="3"/>
        <v>53.2575</v>
      </c>
      <c r="M23">
        <f t="shared" si="4"/>
        <v>3.2844200347368915</v>
      </c>
      <c r="N23">
        <f t="shared" si="5"/>
        <v>228.44200347368914</v>
      </c>
    </row>
    <row r="24" spans="1:14" x14ac:dyDescent="0.3">
      <c r="A24" s="1">
        <v>46051</v>
      </c>
      <c r="B24" t="s">
        <v>15</v>
      </c>
      <c r="C24" t="s">
        <v>32</v>
      </c>
      <c r="D24">
        <v>51969</v>
      </c>
      <c r="E24">
        <v>1689</v>
      </c>
      <c r="F24">
        <v>506.7</v>
      </c>
      <c r="G24">
        <v>171</v>
      </c>
      <c r="H24">
        <v>3178.89</v>
      </c>
      <c r="I24">
        <f t="shared" si="0"/>
        <v>3.2500144316804249</v>
      </c>
      <c r="J24">
        <f t="shared" si="1"/>
        <v>10.124333925399645</v>
      </c>
      <c r="K24">
        <f t="shared" si="2"/>
        <v>0.3</v>
      </c>
      <c r="L24">
        <f t="shared" si="3"/>
        <v>2.9631578947368422</v>
      </c>
      <c r="M24">
        <f t="shared" si="4"/>
        <v>6.2737122557726464</v>
      </c>
      <c r="N24">
        <f t="shared" si="5"/>
        <v>527.37122557726468</v>
      </c>
    </row>
    <row r="25" spans="1:14" x14ac:dyDescent="0.3">
      <c r="A25" s="1">
        <v>46048</v>
      </c>
      <c r="B25" t="s">
        <v>26</v>
      </c>
      <c r="C25" t="s">
        <v>14</v>
      </c>
      <c r="D25">
        <v>55479</v>
      </c>
      <c r="E25">
        <v>2829</v>
      </c>
      <c r="F25">
        <v>9788.34</v>
      </c>
      <c r="G25">
        <v>170</v>
      </c>
      <c r="H25">
        <v>12229.8</v>
      </c>
      <c r="I25">
        <f t="shared" si="0"/>
        <v>5.0992267344400588</v>
      </c>
      <c r="J25">
        <f t="shared" si="1"/>
        <v>6.0091905266878758</v>
      </c>
      <c r="K25">
        <f t="shared" si="2"/>
        <v>3.46</v>
      </c>
      <c r="L25">
        <f t="shared" si="3"/>
        <v>57.578470588235298</v>
      </c>
      <c r="M25">
        <f t="shared" si="4"/>
        <v>1.2494253366760859</v>
      </c>
      <c r="N25">
        <f t="shared" si="5"/>
        <v>24.942533667608593</v>
      </c>
    </row>
    <row r="26" spans="1:14" x14ac:dyDescent="0.3">
      <c r="A26" s="1">
        <v>46023</v>
      </c>
      <c r="B26" t="s">
        <v>11</v>
      </c>
      <c r="C26" t="s">
        <v>25</v>
      </c>
      <c r="D26">
        <v>24594</v>
      </c>
      <c r="E26">
        <v>1311</v>
      </c>
      <c r="F26">
        <v>1546.98</v>
      </c>
      <c r="G26">
        <v>145</v>
      </c>
      <c r="H26">
        <v>26056.5</v>
      </c>
      <c r="I26">
        <f t="shared" si="0"/>
        <v>5.3305684313247133</v>
      </c>
      <c r="J26">
        <f t="shared" si="1"/>
        <v>11.060259344012206</v>
      </c>
      <c r="K26">
        <f t="shared" si="2"/>
        <v>1.18</v>
      </c>
      <c r="L26">
        <f t="shared" si="3"/>
        <v>10.668827586206897</v>
      </c>
      <c r="M26">
        <f t="shared" si="4"/>
        <v>16.843462746771127</v>
      </c>
      <c r="N26">
        <f t="shared" si="5"/>
        <v>1584.3462746771129</v>
      </c>
    </row>
    <row r="27" spans="1:14" x14ac:dyDescent="0.3">
      <c r="A27" s="1">
        <v>46117</v>
      </c>
      <c r="B27" t="s">
        <v>8</v>
      </c>
      <c r="C27" t="s">
        <v>21</v>
      </c>
      <c r="D27">
        <v>70902</v>
      </c>
      <c r="E27">
        <v>2801</v>
      </c>
      <c r="F27">
        <v>2044.73</v>
      </c>
      <c r="G27">
        <v>261</v>
      </c>
      <c r="H27">
        <v>8380.7099999999991</v>
      </c>
      <c r="I27">
        <f t="shared" si="0"/>
        <v>3.9505232574539506</v>
      </c>
      <c r="J27">
        <f t="shared" si="1"/>
        <v>9.3181006783291682</v>
      </c>
      <c r="K27">
        <f t="shared" si="2"/>
        <v>0.73</v>
      </c>
      <c r="L27">
        <f t="shared" si="3"/>
        <v>7.8342145593869734</v>
      </c>
      <c r="M27">
        <f t="shared" si="4"/>
        <v>4.0986878463171168</v>
      </c>
      <c r="N27">
        <f t="shared" si="5"/>
        <v>309.86878463171172</v>
      </c>
    </row>
    <row r="28" spans="1:14" x14ac:dyDescent="0.3">
      <c r="A28" s="1">
        <v>46137</v>
      </c>
      <c r="B28" t="s">
        <v>26</v>
      </c>
      <c r="C28" t="s">
        <v>31</v>
      </c>
      <c r="D28">
        <v>10278</v>
      </c>
      <c r="E28">
        <v>229</v>
      </c>
      <c r="F28">
        <v>487.77</v>
      </c>
      <c r="G28">
        <v>16</v>
      </c>
      <c r="H28">
        <v>2524.8000000000002</v>
      </c>
      <c r="I28">
        <f t="shared" si="0"/>
        <v>2.2280599338392681</v>
      </c>
      <c r="J28">
        <f t="shared" si="1"/>
        <v>6.9868995633187767</v>
      </c>
      <c r="K28">
        <f t="shared" si="2"/>
        <v>2.13</v>
      </c>
      <c r="L28">
        <f t="shared" si="3"/>
        <v>30.485624999999999</v>
      </c>
      <c r="M28">
        <f t="shared" si="4"/>
        <v>5.1762100990220805</v>
      </c>
      <c r="N28">
        <f t="shared" si="5"/>
        <v>417.62100990220807</v>
      </c>
    </row>
    <row r="29" spans="1:14" x14ac:dyDescent="0.3">
      <c r="A29" s="1">
        <v>46037</v>
      </c>
      <c r="B29" t="s">
        <v>18</v>
      </c>
      <c r="C29" t="s">
        <v>34</v>
      </c>
      <c r="D29">
        <v>6878</v>
      </c>
      <c r="E29">
        <v>298</v>
      </c>
      <c r="F29">
        <v>83.44</v>
      </c>
      <c r="G29">
        <v>18</v>
      </c>
      <c r="H29">
        <v>2901.78</v>
      </c>
      <c r="I29">
        <f t="shared" si="0"/>
        <v>4.3326548415236994</v>
      </c>
      <c r="J29">
        <f t="shared" si="1"/>
        <v>6.0402684563758395</v>
      </c>
      <c r="K29">
        <f t="shared" si="2"/>
        <v>0.27999999999999997</v>
      </c>
      <c r="L29">
        <f t="shared" si="3"/>
        <v>4.6355555555555554</v>
      </c>
      <c r="M29">
        <f t="shared" si="4"/>
        <v>34.776845637583897</v>
      </c>
      <c r="N29">
        <f t="shared" si="5"/>
        <v>3377.6845637583897</v>
      </c>
    </row>
    <row r="30" spans="1:14" x14ac:dyDescent="0.3">
      <c r="A30" s="1">
        <v>46027</v>
      </c>
      <c r="B30" t="s">
        <v>8</v>
      </c>
      <c r="C30" t="s">
        <v>29</v>
      </c>
      <c r="D30">
        <v>67061</v>
      </c>
      <c r="E30">
        <v>2052</v>
      </c>
      <c r="F30">
        <v>2441.88</v>
      </c>
      <c r="G30">
        <v>158</v>
      </c>
      <c r="H30">
        <v>20742.240000000002</v>
      </c>
      <c r="I30">
        <f t="shared" si="0"/>
        <v>3.0599006874338288</v>
      </c>
      <c r="J30">
        <f t="shared" si="1"/>
        <v>7.6998050682261203</v>
      </c>
      <c r="K30">
        <f t="shared" si="2"/>
        <v>1.19</v>
      </c>
      <c r="L30">
        <f t="shared" si="3"/>
        <v>15.45493670886076</v>
      </c>
      <c r="M30">
        <f t="shared" si="4"/>
        <v>8.4943731878716395</v>
      </c>
      <c r="N30">
        <f t="shared" si="5"/>
        <v>749.43731878716392</v>
      </c>
    </row>
    <row r="31" spans="1:14" x14ac:dyDescent="0.3">
      <c r="A31" s="1">
        <v>46027</v>
      </c>
      <c r="B31" t="s">
        <v>22</v>
      </c>
      <c r="C31" t="s">
        <v>35</v>
      </c>
      <c r="D31">
        <v>8725</v>
      </c>
      <c r="E31">
        <v>209</v>
      </c>
      <c r="F31">
        <v>217.36</v>
      </c>
      <c r="G31">
        <v>15</v>
      </c>
      <c r="H31">
        <v>2184</v>
      </c>
      <c r="I31">
        <f t="shared" si="0"/>
        <v>2.3954154727793697</v>
      </c>
      <c r="J31">
        <f t="shared" si="1"/>
        <v>7.1770334928229662</v>
      </c>
      <c r="K31">
        <f t="shared" si="2"/>
        <v>1.04</v>
      </c>
      <c r="L31">
        <f t="shared" si="3"/>
        <v>14.490666666666668</v>
      </c>
      <c r="M31">
        <f t="shared" si="4"/>
        <v>10.047846889952153</v>
      </c>
      <c r="N31">
        <f t="shared" si="5"/>
        <v>904.78468899521522</v>
      </c>
    </row>
    <row r="32" spans="1:14" x14ac:dyDescent="0.3">
      <c r="A32" s="1">
        <v>46098</v>
      </c>
      <c r="B32" t="s">
        <v>8</v>
      </c>
      <c r="C32" t="s">
        <v>17</v>
      </c>
      <c r="D32">
        <v>10820</v>
      </c>
      <c r="E32">
        <v>392</v>
      </c>
      <c r="F32">
        <v>172.48</v>
      </c>
      <c r="G32">
        <v>44</v>
      </c>
      <c r="H32">
        <v>3175.92</v>
      </c>
      <c r="I32">
        <f t="shared" si="0"/>
        <v>3.6229205175600745</v>
      </c>
      <c r="J32">
        <f t="shared" si="1"/>
        <v>11.224489795918368</v>
      </c>
      <c r="K32">
        <f t="shared" si="2"/>
        <v>0.43999999999999995</v>
      </c>
      <c r="L32">
        <f t="shared" si="3"/>
        <v>3.92</v>
      </c>
      <c r="M32">
        <f t="shared" si="4"/>
        <v>18.413265306122451</v>
      </c>
      <c r="N32">
        <f t="shared" si="5"/>
        <v>1741.3265306122451</v>
      </c>
    </row>
    <row r="33" spans="1:14" x14ac:dyDescent="0.3">
      <c r="A33" s="1">
        <v>46065</v>
      </c>
      <c r="B33" t="s">
        <v>20</v>
      </c>
      <c r="C33" t="s">
        <v>36</v>
      </c>
      <c r="D33">
        <v>50331</v>
      </c>
      <c r="E33">
        <v>2970</v>
      </c>
      <c r="F33">
        <v>9414.9</v>
      </c>
      <c r="G33">
        <v>181</v>
      </c>
      <c r="H33">
        <v>28558.18</v>
      </c>
      <c r="I33">
        <f t="shared" si="0"/>
        <v>5.9009358049710912</v>
      </c>
      <c r="J33">
        <f t="shared" si="1"/>
        <v>6.0942760942760943</v>
      </c>
      <c r="K33">
        <f t="shared" si="2"/>
        <v>3.17</v>
      </c>
      <c r="L33">
        <f t="shared" si="3"/>
        <v>52.016022099447511</v>
      </c>
      <c r="M33">
        <f t="shared" si="4"/>
        <v>3.0332961582172939</v>
      </c>
      <c r="N33">
        <f t="shared" si="5"/>
        <v>203.32961582172939</v>
      </c>
    </row>
    <row r="34" spans="1:14" x14ac:dyDescent="0.3">
      <c r="A34" s="1">
        <v>46040</v>
      </c>
      <c r="B34" t="s">
        <v>11</v>
      </c>
      <c r="C34" t="s">
        <v>37</v>
      </c>
      <c r="D34">
        <v>54772</v>
      </c>
      <c r="E34">
        <v>559</v>
      </c>
      <c r="F34">
        <v>1196.26</v>
      </c>
      <c r="G34">
        <v>66</v>
      </c>
      <c r="H34">
        <v>14638.14</v>
      </c>
      <c r="I34">
        <f t="shared" si="0"/>
        <v>1.0205944643248375</v>
      </c>
      <c r="J34">
        <f t="shared" si="1"/>
        <v>11.806797853309481</v>
      </c>
      <c r="K34">
        <f t="shared" si="2"/>
        <v>2.14</v>
      </c>
      <c r="L34">
        <f t="shared" si="3"/>
        <v>18.125151515151515</v>
      </c>
      <c r="M34">
        <f t="shared" si="4"/>
        <v>12.23658736395098</v>
      </c>
      <c r="N34">
        <f t="shared" si="5"/>
        <v>1123.658736395098</v>
      </c>
    </row>
    <row r="35" spans="1:14" x14ac:dyDescent="0.3">
      <c r="A35" s="1">
        <v>46123</v>
      </c>
      <c r="B35" t="s">
        <v>8</v>
      </c>
      <c r="C35" t="s">
        <v>38</v>
      </c>
      <c r="D35">
        <v>7297</v>
      </c>
      <c r="E35">
        <v>395</v>
      </c>
      <c r="F35">
        <v>233.05</v>
      </c>
      <c r="G35">
        <v>17</v>
      </c>
      <c r="H35">
        <v>2586.89</v>
      </c>
      <c r="I35">
        <f t="shared" si="0"/>
        <v>5.4131835000685209</v>
      </c>
      <c r="J35">
        <f t="shared" si="1"/>
        <v>4.3037974683544302</v>
      </c>
      <c r="K35">
        <f t="shared" si="2"/>
        <v>0.59000000000000008</v>
      </c>
      <c r="L35">
        <f t="shared" si="3"/>
        <v>13.708823529411765</v>
      </c>
      <c r="M35">
        <f t="shared" si="4"/>
        <v>11.100150182364299</v>
      </c>
      <c r="N35">
        <f t="shared" si="5"/>
        <v>1010.0150182364297</v>
      </c>
    </row>
    <row r="36" spans="1:14" x14ac:dyDescent="0.3">
      <c r="A36" s="1">
        <v>46048</v>
      </c>
      <c r="B36" t="s">
        <v>18</v>
      </c>
      <c r="C36" t="s">
        <v>39</v>
      </c>
      <c r="D36">
        <v>70182</v>
      </c>
      <c r="E36">
        <v>737</v>
      </c>
      <c r="F36">
        <v>574.86</v>
      </c>
      <c r="G36">
        <v>22</v>
      </c>
      <c r="H36">
        <v>4624.84</v>
      </c>
      <c r="I36">
        <f t="shared" si="0"/>
        <v>1.0501268131429713</v>
      </c>
      <c r="J36">
        <f t="shared" si="1"/>
        <v>2.9850746268656714</v>
      </c>
      <c r="K36">
        <f t="shared" si="2"/>
        <v>0.78</v>
      </c>
      <c r="L36">
        <f t="shared" si="3"/>
        <v>26.13</v>
      </c>
      <c r="M36">
        <f t="shared" si="4"/>
        <v>8.0451588212782248</v>
      </c>
      <c r="N36">
        <f t="shared" si="5"/>
        <v>704.51588212782235</v>
      </c>
    </row>
    <row r="37" spans="1:14" x14ac:dyDescent="0.3">
      <c r="A37" s="1">
        <v>46140</v>
      </c>
      <c r="B37" t="s">
        <v>26</v>
      </c>
      <c r="C37" t="s">
        <v>40</v>
      </c>
      <c r="D37">
        <v>20608</v>
      </c>
      <c r="E37">
        <v>989</v>
      </c>
      <c r="F37">
        <v>3075.79</v>
      </c>
      <c r="G37">
        <v>112</v>
      </c>
      <c r="H37">
        <v>16602.88</v>
      </c>
      <c r="I37">
        <f t="shared" si="0"/>
        <v>4.7991071428571432</v>
      </c>
      <c r="J37">
        <f t="shared" si="1"/>
        <v>11.324570273003033</v>
      </c>
      <c r="K37">
        <f t="shared" si="2"/>
        <v>3.11</v>
      </c>
      <c r="L37">
        <f t="shared" si="3"/>
        <v>27.462410714285713</v>
      </c>
      <c r="M37">
        <f t="shared" si="4"/>
        <v>5.3979237854339868</v>
      </c>
      <c r="N37">
        <f t="shared" si="5"/>
        <v>439.79237854339857</v>
      </c>
    </row>
    <row r="38" spans="1:14" x14ac:dyDescent="0.3">
      <c r="A38" s="1">
        <v>46093</v>
      </c>
      <c r="B38" t="s">
        <v>18</v>
      </c>
      <c r="C38" t="s">
        <v>41</v>
      </c>
      <c r="D38">
        <v>36681</v>
      </c>
      <c r="E38">
        <v>1247</v>
      </c>
      <c r="F38">
        <v>3678.65</v>
      </c>
      <c r="G38">
        <v>124</v>
      </c>
      <c r="H38">
        <v>17863.439999999999</v>
      </c>
      <c r="I38">
        <f t="shared" si="0"/>
        <v>3.3995801641176633</v>
      </c>
      <c r="J38">
        <f t="shared" si="1"/>
        <v>9.9438652766639937</v>
      </c>
      <c r="K38">
        <f t="shared" si="2"/>
        <v>2.95</v>
      </c>
      <c r="L38">
        <f t="shared" si="3"/>
        <v>29.666532258064517</v>
      </c>
      <c r="M38">
        <f t="shared" si="4"/>
        <v>4.8559770568007279</v>
      </c>
      <c r="N38">
        <f t="shared" si="5"/>
        <v>385.59770568007281</v>
      </c>
    </row>
    <row r="39" spans="1:14" x14ac:dyDescent="0.3">
      <c r="A39" s="1">
        <v>46087</v>
      </c>
      <c r="B39" t="s">
        <v>26</v>
      </c>
      <c r="C39" t="s">
        <v>14</v>
      </c>
      <c r="D39">
        <v>57391</v>
      </c>
      <c r="E39">
        <v>2766</v>
      </c>
      <c r="F39">
        <v>2600.04</v>
      </c>
      <c r="G39">
        <v>40</v>
      </c>
      <c r="H39">
        <v>4767.6000000000004</v>
      </c>
      <c r="I39">
        <f t="shared" si="0"/>
        <v>4.8195710128765832</v>
      </c>
      <c r="J39">
        <f t="shared" si="1"/>
        <v>1.4461315979754157</v>
      </c>
      <c r="K39">
        <f t="shared" si="2"/>
        <v>0.94</v>
      </c>
      <c r="L39">
        <f t="shared" si="3"/>
        <v>65.001000000000005</v>
      </c>
      <c r="M39">
        <f t="shared" si="4"/>
        <v>1.8336640974754237</v>
      </c>
      <c r="N39">
        <f t="shared" si="5"/>
        <v>83.366409747542363</v>
      </c>
    </row>
    <row r="40" spans="1:14" x14ac:dyDescent="0.3">
      <c r="A40" s="1">
        <v>46131</v>
      </c>
      <c r="B40" t="s">
        <v>11</v>
      </c>
      <c r="C40" t="s">
        <v>37</v>
      </c>
      <c r="D40">
        <v>63219</v>
      </c>
      <c r="E40">
        <v>2421</v>
      </c>
      <c r="F40">
        <v>6488.28</v>
      </c>
      <c r="G40">
        <v>59</v>
      </c>
      <c r="H40">
        <v>9778.66</v>
      </c>
      <c r="I40">
        <f t="shared" si="0"/>
        <v>3.829544915294453</v>
      </c>
      <c r="J40">
        <f t="shared" si="1"/>
        <v>2.4370095002065262</v>
      </c>
      <c r="K40">
        <f t="shared" si="2"/>
        <v>2.6799999999999997</v>
      </c>
      <c r="L40">
        <f t="shared" si="3"/>
        <v>109.97084745762712</v>
      </c>
      <c r="M40">
        <f t="shared" si="4"/>
        <v>1.5071266961351852</v>
      </c>
      <c r="N40">
        <f t="shared" si="5"/>
        <v>50.712669613518536</v>
      </c>
    </row>
    <row r="41" spans="1:14" x14ac:dyDescent="0.3">
      <c r="A41" s="1">
        <v>46142</v>
      </c>
      <c r="B41" t="s">
        <v>18</v>
      </c>
      <c r="C41" t="s">
        <v>35</v>
      </c>
      <c r="D41">
        <v>21685</v>
      </c>
      <c r="E41">
        <v>445</v>
      </c>
      <c r="F41">
        <v>1068</v>
      </c>
      <c r="G41">
        <v>36</v>
      </c>
      <c r="H41">
        <v>4411.8</v>
      </c>
      <c r="I41">
        <f t="shared" si="0"/>
        <v>2.0521097532856811</v>
      </c>
      <c r="J41">
        <f t="shared" si="1"/>
        <v>8.0898876404494384</v>
      </c>
      <c r="K41">
        <f t="shared" si="2"/>
        <v>2.4</v>
      </c>
      <c r="L41">
        <f t="shared" si="3"/>
        <v>29.666666666666668</v>
      </c>
      <c r="M41">
        <f t="shared" si="4"/>
        <v>4.1308988764044949</v>
      </c>
      <c r="N41">
        <f t="shared" si="5"/>
        <v>313.08988764044943</v>
      </c>
    </row>
    <row r="42" spans="1:14" x14ac:dyDescent="0.3">
      <c r="A42" s="1">
        <v>46092</v>
      </c>
      <c r="B42" t="s">
        <v>18</v>
      </c>
      <c r="C42" t="s">
        <v>24</v>
      </c>
      <c r="D42">
        <v>83886</v>
      </c>
      <c r="E42">
        <v>1208</v>
      </c>
      <c r="F42">
        <v>3479.04</v>
      </c>
      <c r="G42">
        <v>99</v>
      </c>
      <c r="H42">
        <v>10743.48</v>
      </c>
      <c r="I42">
        <f t="shared" si="0"/>
        <v>1.4400495911117468</v>
      </c>
      <c r="J42">
        <f t="shared" si="1"/>
        <v>8.1953642384105958</v>
      </c>
      <c r="K42">
        <f t="shared" si="2"/>
        <v>2.88</v>
      </c>
      <c r="L42">
        <f t="shared" si="3"/>
        <v>35.141818181818181</v>
      </c>
      <c r="M42">
        <f t="shared" si="4"/>
        <v>3.0880587748344368</v>
      </c>
      <c r="N42">
        <f t="shared" si="5"/>
        <v>208.80587748344368</v>
      </c>
    </row>
    <row r="43" spans="1:14" x14ac:dyDescent="0.3">
      <c r="A43" s="1">
        <v>46118</v>
      </c>
      <c r="B43" t="s">
        <v>11</v>
      </c>
      <c r="C43" t="s">
        <v>28</v>
      </c>
      <c r="D43">
        <v>25868</v>
      </c>
      <c r="E43">
        <v>1239</v>
      </c>
      <c r="F43">
        <v>1424.85</v>
      </c>
      <c r="G43">
        <v>24</v>
      </c>
      <c r="H43">
        <v>3415.44</v>
      </c>
      <c r="I43">
        <f t="shared" si="0"/>
        <v>4.7897015617751659</v>
      </c>
      <c r="J43">
        <f t="shared" si="1"/>
        <v>1.937046004842615</v>
      </c>
      <c r="K43">
        <f t="shared" si="2"/>
        <v>1.1499999999999999</v>
      </c>
      <c r="L43">
        <f t="shared" si="3"/>
        <v>59.368749999999999</v>
      </c>
      <c r="M43">
        <f t="shared" si="4"/>
        <v>2.3970523212969788</v>
      </c>
      <c r="N43">
        <f t="shared" si="5"/>
        <v>139.70523212969789</v>
      </c>
    </row>
    <row r="44" spans="1:14" x14ac:dyDescent="0.3">
      <c r="A44" s="1">
        <v>46110</v>
      </c>
      <c r="B44" t="s">
        <v>20</v>
      </c>
      <c r="C44" t="s">
        <v>42</v>
      </c>
      <c r="D44">
        <v>67992</v>
      </c>
      <c r="E44">
        <v>1883</v>
      </c>
      <c r="F44">
        <v>3747.17</v>
      </c>
      <c r="G44">
        <v>205</v>
      </c>
      <c r="H44">
        <v>39591.65</v>
      </c>
      <c r="I44">
        <f t="shared" si="0"/>
        <v>2.7694434639369341</v>
      </c>
      <c r="J44">
        <f t="shared" si="1"/>
        <v>10.88688263409453</v>
      </c>
      <c r="K44">
        <f t="shared" si="2"/>
        <v>1.99</v>
      </c>
      <c r="L44">
        <f t="shared" si="3"/>
        <v>18.278878048780488</v>
      </c>
      <c r="M44">
        <f t="shared" si="4"/>
        <v>10.565746950365209</v>
      </c>
      <c r="N44">
        <f t="shared" si="5"/>
        <v>956.57469503652101</v>
      </c>
    </row>
    <row r="45" spans="1:14" x14ac:dyDescent="0.3">
      <c r="A45" s="1">
        <v>46101</v>
      </c>
      <c r="B45" t="s">
        <v>22</v>
      </c>
      <c r="C45" t="s">
        <v>34</v>
      </c>
      <c r="D45">
        <v>16639</v>
      </c>
      <c r="E45">
        <v>246</v>
      </c>
      <c r="F45">
        <v>408.36</v>
      </c>
      <c r="G45">
        <v>9</v>
      </c>
      <c r="H45">
        <v>1391.04</v>
      </c>
      <c r="I45">
        <f t="shared" si="0"/>
        <v>1.4784542340284872</v>
      </c>
      <c r="J45">
        <f t="shared" si="1"/>
        <v>3.6585365853658534</v>
      </c>
      <c r="K45">
        <f t="shared" si="2"/>
        <v>1.6600000000000001</v>
      </c>
      <c r="L45">
        <f t="shared" si="3"/>
        <v>45.373333333333335</v>
      </c>
      <c r="M45">
        <f t="shared" si="4"/>
        <v>3.4064061122538933</v>
      </c>
      <c r="N45">
        <f t="shared" si="5"/>
        <v>240.64061122538934</v>
      </c>
    </row>
    <row r="46" spans="1:14" x14ac:dyDescent="0.3">
      <c r="A46" s="1">
        <v>46108</v>
      </c>
      <c r="B46" t="s">
        <v>20</v>
      </c>
      <c r="C46" t="s">
        <v>43</v>
      </c>
      <c r="D46">
        <v>83539</v>
      </c>
      <c r="E46">
        <v>4352</v>
      </c>
      <c r="F46">
        <v>11228.16</v>
      </c>
      <c r="G46">
        <v>474</v>
      </c>
      <c r="H46">
        <v>21491.16</v>
      </c>
      <c r="I46">
        <f t="shared" si="0"/>
        <v>5.2095428482505177</v>
      </c>
      <c r="J46">
        <f t="shared" si="1"/>
        <v>10.89154411764706</v>
      </c>
      <c r="K46">
        <f t="shared" si="2"/>
        <v>2.58</v>
      </c>
      <c r="L46">
        <f t="shared" si="3"/>
        <v>23.688101265822784</v>
      </c>
      <c r="M46">
        <f t="shared" si="4"/>
        <v>1.9140411251709986</v>
      </c>
      <c r="N46">
        <f t="shared" si="5"/>
        <v>91.404112517099861</v>
      </c>
    </row>
    <row r="47" spans="1:14" x14ac:dyDescent="0.3">
      <c r="A47" s="1">
        <v>46097</v>
      </c>
      <c r="B47" t="s">
        <v>15</v>
      </c>
      <c r="C47" t="s">
        <v>24</v>
      </c>
      <c r="D47">
        <v>43492</v>
      </c>
      <c r="E47">
        <v>1840</v>
      </c>
      <c r="F47">
        <v>3882.4</v>
      </c>
      <c r="G47">
        <v>217</v>
      </c>
      <c r="H47">
        <v>36755.46</v>
      </c>
      <c r="I47">
        <f t="shared" si="0"/>
        <v>4.2306631104570958</v>
      </c>
      <c r="J47">
        <f t="shared" si="1"/>
        <v>11.793478260869565</v>
      </c>
      <c r="K47">
        <f t="shared" si="2"/>
        <v>2.11</v>
      </c>
      <c r="L47">
        <f t="shared" si="3"/>
        <v>17.891244239631337</v>
      </c>
      <c r="M47">
        <f t="shared" si="4"/>
        <v>9.4672007005975676</v>
      </c>
      <c r="N47">
        <f t="shared" si="5"/>
        <v>846.72007005975672</v>
      </c>
    </row>
    <row r="48" spans="1:14" x14ac:dyDescent="0.3">
      <c r="A48" s="1">
        <v>46132</v>
      </c>
      <c r="B48" t="s">
        <v>8</v>
      </c>
      <c r="C48" t="s">
        <v>29</v>
      </c>
      <c r="D48">
        <v>84186</v>
      </c>
      <c r="E48">
        <v>3654</v>
      </c>
      <c r="F48">
        <v>9463.86</v>
      </c>
      <c r="G48">
        <v>214</v>
      </c>
      <c r="H48">
        <v>33919</v>
      </c>
      <c r="I48">
        <f t="shared" si="0"/>
        <v>4.3403891383365405</v>
      </c>
      <c r="J48">
        <f t="shared" si="1"/>
        <v>5.8565955117679263</v>
      </c>
      <c r="K48">
        <f t="shared" si="2"/>
        <v>2.5900000000000003</v>
      </c>
      <c r="L48">
        <f t="shared" si="3"/>
        <v>44.223644859813085</v>
      </c>
      <c r="M48">
        <f t="shared" si="4"/>
        <v>3.5840555544989039</v>
      </c>
      <c r="N48">
        <f t="shared" si="5"/>
        <v>258.40555544989041</v>
      </c>
    </row>
    <row r="49" spans="1:14" x14ac:dyDescent="0.3">
      <c r="A49" s="1">
        <v>46050</v>
      </c>
      <c r="B49" t="s">
        <v>18</v>
      </c>
      <c r="C49" t="s">
        <v>23</v>
      </c>
      <c r="D49">
        <v>2108</v>
      </c>
      <c r="E49">
        <v>126</v>
      </c>
      <c r="F49">
        <v>396.9</v>
      </c>
      <c r="G49">
        <v>13</v>
      </c>
      <c r="H49">
        <v>2799.29</v>
      </c>
      <c r="I49">
        <f t="shared" si="0"/>
        <v>5.977229601518026</v>
      </c>
      <c r="J49">
        <f t="shared" si="1"/>
        <v>10.317460317460316</v>
      </c>
      <c r="K49">
        <f t="shared" si="2"/>
        <v>3.15</v>
      </c>
      <c r="L49">
        <f t="shared" si="3"/>
        <v>30.530769230769231</v>
      </c>
      <c r="M49">
        <f t="shared" si="4"/>
        <v>7.0528848576467631</v>
      </c>
      <c r="N49">
        <f t="shared" si="5"/>
        <v>605.28848576467624</v>
      </c>
    </row>
    <row r="50" spans="1:14" x14ac:dyDescent="0.3">
      <c r="A50" s="1">
        <v>46053</v>
      </c>
      <c r="B50" t="s">
        <v>11</v>
      </c>
      <c r="C50" t="s">
        <v>21</v>
      </c>
      <c r="D50">
        <v>3276</v>
      </c>
      <c r="E50">
        <v>154</v>
      </c>
      <c r="F50">
        <v>434.28</v>
      </c>
      <c r="G50">
        <v>7</v>
      </c>
      <c r="H50">
        <v>1078.7</v>
      </c>
      <c r="I50">
        <f t="shared" si="0"/>
        <v>4.700854700854701</v>
      </c>
      <c r="J50">
        <f t="shared" si="1"/>
        <v>4.5454545454545459</v>
      </c>
      <c r="K50">
        <f t="shared" si="2"/>
        <v>2.82</v>
      </c>
      <c r="L50">
        <f t="shared" si="3"/>
        <v>62.04</v>
      </c>
      <c r="M50">
        <f t="shared" si="4"/>
        <v>2.4838813668600905</v>
      </c>
      <c r="N50">
        <f t="shared" si="5"/>
        <v>148.38813668600906</v>
      </c>
    </row>
    <row r="51" spans="1:14" x14ac:dyDescent="0.3">
      <c r="A51" s="1">
        <v>46143</v>
      </c>
      <c r="B51" t="s">
        <v>8</v>
      </c>
      <c r="C51" t="s">
        <v>27</v>
      </c>
      <c r="D51">
        <v>79947</v>
      </c>
      <c r="E51">
        <v>4413</v>
      </c>
      <c r="F51">
        <v>3706.92</v>
      </c>
      <c r="G51">
        <v>140</v>
      </c>
      <c r="H51">
        <v>15152.2</v>
      </c>
      <c r="I51">
        <f t="shared" si="0"/>
        <v>5.5199069383466544</v>
      </c>
      <c r="J51">
        <f t="shared" si="1"/>
        <v>3.1724450487196916</v>
      </c>
      <c r="K51">
        <f t="shared" si="2"/>
        <v>0.84</v>
      </c>
      <c r="L51">
        <f t="shared" si="3"/>
        <v>26.478000000000002</v>
      </c>
      <c r="M51">
        <f t="shared" si="4"/>
        <v>4.0875443764634793</v>
      </c>
      <c r="N51">
        <f t="shared" si="5"/>
        <v>308.75443764634792</v>
      </c>
    </row>
    <row r="52" spans="1:14" x14ac:dyDescent="0.3">
      <c r="A52" s="1">
        <v>46092</v>
      </c>
      <c r="B52" t="s">
        <v>15</v>
      </c>
      <c r="C52" t="s">
        <v>29</v>
      </c>
      <c r="D52">
        <v>83253</v>
      </c>
      <c r="E52">
        <v>2348</v>
      </c>
      <c r="F52">
        <v>4390.76</v>
      </c>
      <c r="G52">
        <v>267</v>
      </c>
      <c r="H52">
        <v>27503.67</v>
      </c>
      <c r="I52">
        <f t="shared" si="0"/>
        <v>2.8203187873109679</v>
      </c>
      <c r="J52">
        <f t="shared" si="1"/>
        <v>11.371379897785349</v>
      </c>
      <c r="K52">
        <f t="shared" si="2"/>
        <v>1.87</v>
      </c>
      <c r="L52">
        <f t="shared" si="3"/>
        <v>16.444794007490639</v>
      </c>
      <c r="M52">
        <f t="shared" si="4"/>
        <v>6.2639884666891374</v>
      </c>
      <c r="N52">
        <f t="shared" si="5"/>
        <v>526.39884666891362</v>
      </c>
    </row>
    <row r="53" spans="1:14" x14ac:dyDescent="0.3">
      <c r="A53" s="1">
        <v>46098</v>
      </c>
      <c r="B53" t="s">
        <v>11</v>
      </c>
      <c r="C53" t="s">
        <v>14</v>
      </c>
      <c r="D53">
        <v>45448</v>
      </c>
      <c r="E53">
        <v>1100</v>
      </c>
      <c r="F53">
        <v>1320</v>
      </c>
      <c r="G53">
        <v>80</v>
      </c>
      <c r="H53">
        <v>3028.8</v>
      </c>
      <c r="I53">
        <f t="shared" si="0"/>
        <v>2.4203485301883472</v>
      </c>
      <c r="J53">
        <f t="shared" si="1"/>
        <v>7.2727272727272725</v>
      </c>
      <c r="K53">
        <f t="shared" si="2"/>
        <v>1.2</v>
      </c>
      <c r="L53">
        <f t="shared" si="3"/>
        <v>16.5</v>
      </c>
      <c r="M53">
        <f t="shared" si="4"/>
        <v>2.2945454545454549</v>
      </c>
      <c r="N53">
        <f t="shared" si="5"/>
        <v>129.45454545454547</v>
      </c>
    </row>
    <row r="54" spans="1:14" x14ac:dyDescent="0.3">
      <c r="A54" s="1">
        <v>46045</v>
      </c>
      <c r="B54" t="s">
        <v>20</v>
      </c>
      <c r="C54" t="s">
        <v>35</v>
      </c>
      <c r="D54">
        <v>49990</v>
      </c>
      <c r="E54">
        <v>1620</v>
      </c>
      <c r="F54">
        <v>4600.8</v>
      </c>
      <c r="G54">
        <v>105</v>
      </c>
      <c r="H54">
        <v>15376.2</v>
      </c>
      <c r="I54">
        <f t="shared" si="0"/>
        <v>3.2406481296259253</v>
      </c>
      <c r="J54">
        <f t="shared" si="1"/>
        <v>6.481481481481481</v>
      </c>
      <c r="K54">
        <f t="shared" si="2"/>
        <v>2.8400000000000003</v>
      </c>
      <c r="L54">
        <f t="shared" si="3"/>
        <v>43.817142857142862</v>
      </c>
      <c r="M54">
        <f t="shared" si="4"/>
        <v>3.3420709441836203</v>
      </c>
      <c r="N54">
        <f t="shared" si="5"/>
        <v>234.20709441836203</v>
      </c>
    </row>
    <row r="55" spans="1:14" x14ac:dyDescent="0.3">
      <c r="A55" s="1">
        <v>46063</v>
      </c>
      <c r="B55" t="s">
        <v>15</v>
      </c>
      <c r="C55" t="s">
        <v>44</v>
      </c>
      <c r="D55">
        <v>4346</v>
      </c>
      <c r="E55">
        <v>155</v>
      </c>
      <c r="F55">
        <v>416.95</v>
      </c>
      <c r="G55">
        <v>9</v>
      </c>
      <c r="H55">
        <v>1338.93</v>
      </c>
      <c r="I55">
        <f t="shared" si="0"/>
        <v>3.566497929130235</v>
      </c>
      <c r="J55">
        <f t="shared" si="1"/>
        <v>5.806451612903226</v>
      </c>
      <c r="K55">
        <f t="shared" si="2"/>
        <v>2.69</v>
      </c>
      <c r="L55">
        <f t="shared" si="3"/>
        <v>46.327777777777776</v>
      </c>
      <c r="M55">
        <f t="shared" si="4"/>
        <v>3.2112483511212377</v>
      </c>
      <c r="N55">
        <f t="shared" si="5"/>
        <v>221.12483511212378</v>
      </c>
    </row>
    <row r="56" spans="1:14" x14ac:dyDescent="0.3">
      <c r="A56" s="1">
        <v>46075</v>
      </c>
      <c r="B56" t="s">
        <v>15</v>
      </c>
      <c r="C56" t="s">
        <v>38</v>
      </c>
      <c r="D56">
        <v>38084</v>
      </c>
      <c r="E56">
        <v>404</v>
      </c>
      <c r="F56">
        <v>1151.4000000000001</v>
      </c>
      <c r="G56">
        <v>43</v>
      </c>
      <c r="H56">
        <v>3359.16</v>
      </c>
      <c r="I56">
        <f t="shared" si="0"/>
        <v>1.0608129398172461</v>
      </c>
      <c r="J56">
        <f t="shared" si="1"/>
        <v>10.643564356435643</v>
      </c>
      <c r="K56">
        <f t="shared" si="2"/>
        <v>2.85</v>
      </c>
      <c r="L56">
        <f t="shared" si="3"/>
        <v>26.776744186046514</v>
      </c>
      <c r="M56">
        <f t="shared" si="4"/>
        <v>2.9174570088587801</v>
      </c>
      <c r="N56">
        <f t="shared" si="5"/>
        <v>191.74570088587802</v>
      </c>
    </row>
    <row r="57" spans="1:14" x14ac:dyDescent="0.3">
      <c r="A57" s="1">
        <v>46134</v>
      </c>
      <c r="B57" t="s">
        <v>18</v>
      </c>
      <c r="C57" t="s">
        <v>43</v>
      </c>
      <c r="D57">
        <v>63139</v>
      </c>
      <c r="E57">
        <v>1427</v>
      </c>
      <c r="F57">
        <v>3881.44</v>
      </c>
      <c r="G57">
        <v>45</v>
      </c>
      <c r="H57">
        <v>7948.8</v>
      </c>
      <c r="I57">
        <f t="shared" si="0"/>
        <v>2.2600928110993208</v>
      </c>
      <c r="J57">
        <f t="shared" si="1"/>
        <v>3.1534688156972668</v>
      </c>
      <c r="K57">
        <f t="shared" si="2"/>
        <v>2.72</v>
      </c>
      <c r="L57">
        <f t="shared" si="3"/>
        <v>86.254222222222225</v>
      </c>
      <c r="M57">
        <f t="shared" si="4"/>
        <v>2.0478997485469312</v>
      </c>
      <c r="N57">
        <f t="shared" si="5"/>
        <v>104.7899748546931</v>
      </c>
    </row>
    <row r="58" spans="1:14" x14ac:dyDescent="0.3">
      <c r="A58" s="1">
        <v>46095</v>
      </c>
      <c r="B58" t="s">
        <v>26</v>
      </c>
      <c r="C58" t="s">
        <v>38</v>
      </c>
      <c r="D58">
        <v>3735</v>
      </c>
      <c r="E58">
        <v>102</v>
      </c>
      <c r="F58">
        <v>209.1</v>
      </c>
      <c r="G58">
        <v>9</v>
      </c>
      <c r="H58">
        <v>1359.63</v>
      </c>
      <c r="I58">
        <f t="shared" si="0"/>
        <v>2.7309236947791167</v>
      </c>
      <c r="J58">
        <f t="shared" si="1"/>
        <v>8.8235294117647065</v>
      </c>
      <c r="K58">
        <f t="shared" si="2"/>
        <v>2.0499999999999998</v>
      </c>
      <c r="L58">
        <f t="shared" si="3"/>
        <v>23.233333333333334</v>
      </c>
      <c r="M58">
        <f t="shared" si="4"/>
        <v>6.502295552367289</v>
      </c>
      <c r="N58">
        <f t="shared" si="5"/>
        <v>550.22955523672897</v>
      </c>
    </row>
    <row r="59" spans="1:14" x14ac:dyDescent="0.3">
      <c r="A59" s="1">
        <v>46132</v>
      </c>
      <c r="B59" t="s">
        <v>26</v>
      </c>
      <c r="C59" t="s">
        <v>45</v>
      </c>
      <c r="D59">
        <v>40541</v>
      </c>
      <c r="E59">
        <v>766</v>
      </c>
      <c r="F59">
        <v>383</v>
      </c>
      <c r="G59">
        <v>66</v>
      </c>
      <c r="H59">
        <v>7520.04</v>
      </c>
      <c r="I59">
        <f t="shared" si="0"/>
        <v>1.8894452529537999</v>
      </c>
      <c r="J59">
        <f t="shared" si="1"/>
        <v>8.6161879895561366</v>
      </c>
      <c r="K59">
        <f t="shared" si="2"/>
        <v>0.5</v>
      </c>
      <c r="L59">
        <f t="shared" si="3"/>
        <v>5.8030303030303028</v>
      </c>
      <c r="M59">
        <f t="shared" si="4"/>
        <v>19.634569190600523</v>
      </c>
      <c r="N59">
        <f t="shared" si="5"/>
        <v>1863.4569190600523</v>
      </c>
    </row>
    <row r="60" spans="1:14" x14ac:dyDescent="0.3">
      <c r="A60" s="1">
        <v>46083</v>
      </c>
      <c r="B60" t="s">
        <v>26</v>
      </c>
      <c r="C60" t="s">
        <v>36</v>
      </c>
      <c r="D60">
        <v>11472</v>
      </c>
      <c r="E60">
        <v>611</v>
      </c>
      <c r="F60">
        <v>1197.56</v>
      </c>
      <c r="G60">
        <v>33</v>
      </c>
      <c r="H60">
        <v>6195.42</v>
      </c>
      <c r="I60">
        <f t="shared" si="0"/>
        <v>5.3260111576011155</v>
      </c>
      <c r="J60">
        <f t="shared" si="1"/>
        <v>5.400981996726677</v>
      </c>
      <c r="K60">
        <f t="shared" si="2"/>
        <v>1.96</v>
      </c>
      <c r="L60">
        <f t="shared" si="3"/>
        <v>36.289696969696969</v>
      </c>
      <c r="M60">
        <f t="shared" si="4"/>
        <v>5.1733691840074822</v>
      </c>
      <c r="N60">
        <f t="shared" si="5"/>
        <v>417.33691840074823</v>
      </c>
    </row>
    <row r="61" spans="1:14" x14ac:dyDescent="0.3">
      <c r="A61" s="1">
        <v>46107</v>
      </c>
      <c r="B61" t="s">
        <v>26</v>
      </c>
      <c r="C61" t="s">
        <v>46</v>
      </c>
      <c r="D61">
        <v>19185</v>
      </c>
      <c r="E61">
        <v>934</v>
      </c>
      <c r="F61">
        <v>2867.38</v>
      </c>
      <c r="G61">
        <v>95</v>
      </c>
      <c r="H61">
        <v>15762.4</v>
      </c>
      <c r="I61">
        <f t="shared" si="0"/>
        <v>4.8683867604899662</v>
      </c>
      <c r="J61">
        <f t="shared" si="1"/>
        <v>10.171306209850108</v>
      </c>
      <c r="K61">
        <f t="shared" si="2"/>
        <v>3.0700000000000003</v>
      </c>
      <c r="L61">
        <f t="shared" si="3"/>
        <v>30.182947368421054</v>
      </c>
      <c r="M61">
        <f t="shared" si="4"/>
        <v>5.4971437340010736</v>
      </c>
      <c r="N61">
        <f t="shared" si="5"/>
        <v>449.71437340010743</v>
      </c>
    </row>
    <row r="62" spans="1:14" x14ac:dyDescent="0.3">
      <c r="A62" s="1">
        <v>46131</v>
      </c>
      <c r="B62" t="s">
        <v>26</v>
      </c>
      <c r="C62" t="s">
        <v>47</v>
      </c>
      <c r="D62">
        <v>10935</v>
      </c>
      <c r="E62">
        <v>247</v>
      </c>
      <c r="F62">
        <v>820.04</v>
      </c>
      <c r="G62">
        <v>8</v>
      </c>
      <c r="H62">
        <v>213.36</v>
      </c>
      <c r="I62">
        <f t="shared" si="0"/>
        <v>2.2588020118884318</v>
      </c>
      <c r="J62">
        <f t="shared" si="1"/>
        <v>3.2388663967611335</v>
      </c>
      <c r="K62">
        <f t="shared" si="2"/>
        <v>3.32</v>
      </c>
      <c r="L62">
        <f t="shared" si="3"/>
        <v>102.505</v>
      </c>
      <c r="M62">
        <f t="shared" si="4"/>
        <v>0.26018243012535974</v>
      </c>
      <c r="N62">
        <f t="shared" si="5"/>
        <v>-73.981756987464024</v>
      </c>
    </row>
    <row r="63" spans="1:14" x14ac:dyDescent="0.3">
      <c r="A63" s="1">
        <v>46041</v>
      </c>
      <c r="B63" t="s">
        <v>15</v>
      </c>
      <c r="C63" t="s">
        <v>19</v>
      </c>
      <c r="D63">
        <v>75266</v>
      </c>
      <c r="E63">
        <v>4275</v>
      </c>
      <c r="F63">
        <v>7566.75</v>
      </c>
      <c r="G63">
        <v>150</v>
      </c>
      <c r="H63">
        <v>11865</v>
      </c>
      <c r="I63">
        <f t="shared" si="0"/>
        <v>5.6798554460181219</v>
      </c>
      <c r="J63">
        <f t="shared" si="1"/>
        <v>3.5087719298245612</v>
      </c>
      <c r="K63">
        <f t="shared" si="2"/>
        <v>1.77</v>
      </c>
      <c r="L63">
        <f t="shared" si="3"/>
        <v>50.445</v>
      </c>
      <c r="M63">
        <f t="shared" si="4"/>
        <v>1.5680444047973039</v>
      </c>
      <c r="N63">
        <f t="shared" si="5"/>
        <v>56.804440479730403</v>
      </c>
    </row>
    <row r="64" spans="1:14" x14ac:dyDescent="0.3">
      <c r="A64" s="1">
        <v>46071</v>
      </c>
      <c r="B64" t="s">
        <v>18</v>
      </c>
      <c r="C64" t="s">
        <v>25</v>
      </c>
      <c r="D64">
        <v>24460</v>
      </c>
      <c r="E64">
        <v>487</v>
      </c>
      <c r="F64">
        <v>1027.57</v>
      </c>
      <c r="G64">
        <v>35</v>
      </c>
      <c r="H64">
        <v>8375.5</v>
      </c>
      <c r="I64">
        <f t="shared" si="0"/>
        <v>1.9910057236304168</v>
      </c>
      <c r="J64">
        <f t="shared" si="1"/>
        <v>7.1868583162217652</v>
      </c>
      <c r="K64">
        <f t="shared" si="2"/>
        <v>2.11</v>
      </c>
      <c r="L64">
        <f t="shared" si="3"/>
        <v>29.359142857142857</v>
      </c>
      <c r="M64">
        <f t="shared" si="4"/>
        <v>8.1507829150325524</v>
      </c>
      <c r="N64">
        <f t="shared" si="5"/>
        <v>715.07829150325529</v>
      </c>
    </row>
    <row r="65" spans="1:14" x14ac:dyDescent="0.3">
      <c r="A65" s="1">
        <v>46141</v>
      </c>
      <c r="B65" t="s">
        <v>8</v>
      </c>
      <c r="C65" t="s">
        <v>48</v>
      </c>
      <c r="D65">
        <v>58290</v>
      </c>
      <c r="E65">
        <v>2081</v>
      </c>
      <c r="F65">
        <v>2580.44</v>
      </c>
      <c r="G65">
        <v>108</v>
      </c>
      <c r="H65">
        <v>18032.759999999998</v>
      </c>
      <c r="I65">
        <f t="shared" si="0"/>
        <v>3.5700806313261282</v>
      </c>
      <c r="J65">
        <f t="shared" si="1"/>
        <v>5.1898125901009129</v>
      </c>
      <c r="K65">
        <f t="shared" si="2"/>
        <v>1.24</v>
      </c>
      <c r="L65">
        <f t="shared" si="3"/>
        <v>23.892962962962965</v>
      </c>
      <c r="M65">
        <f t="shared" si="4"/>
        <v>6.9882500658802371</v>
      </c>
      <c r="N65">
        <f t="shared" si="5"/>
        <v>598.8250065880236</v>
      </c>
    </row>
    <row r="66" spans="1:14" x14ac:dyDescent="0.3">
      <c r="A66" s="1">
        <v>46107</v>
      </c>
      <c r="B66" t="s">
        <v>22</v>
      </c>
      <c r="C66" t="s">
        <v>49</v>
      </c>
      <c r="D66">
        <v>46812</v>
      </c>
      <c r="E66">
        <v>1049</v>
      </c>
      <c r="F66">
        <v>2118.98</v>
      </c>
      <c r="G66">
        <v>51</v>
      </c>
      <c r="H66">
        <v>4448.22</v>
      </c>
      <c r="I66">
        <f t="shared" si="0"/>
        <v>2.2408784072460053</v>
      </c>
      <c r="J66">
        <f t="shared" si="1"/>
        <v>4.8617731172545282</v>
      </c>
      <c r="K66">
        <f t="shared" si="2"/>
        <v>2.02</v>
      </c>
      <c r="L66">
        <f t="shared" si="3"/>
        <v>41.548627450980391</v>
      </c>
      <c r="M66">
        <f t="shared" si="4"/>
        <v>2.0992269865690099</v>
      </c>
      <c r="N66">
        <f t="shared" si="5"/>
        <v>109.92269865690096</v>
      </c>
    </row>
    <row r="67" spans="1:14" x14ac:dyDescent="0.3">
      <c r="A67" s="1">
        <v>46122</v>
      </c>
      <c r="B67" t="s">
        <v>20</v>
      </c>
      <c r="C67" t="s">
        <v>43</v>
      </c>
      <c r="D67">
        <v>68921</v>
      </c>
      <c r="E67">
        <v>1716</v>
      </c>
      <c r="F67">
        <v>1904.76</v>
      </c>
      <c r="G67">
        <v>85</v>
      </c>
      <c r="H67">
        <v>8907.15</v>
      </c>
      <c r="I67">
        <f t="shared" ref="I67:I130" si="6">E67/D67*100</f>
        <v>2.489807170528576</v>
      </c>
      <c r="J67">
        <f t="shared" ref="J67:J130" si="7">G67/E67*100</f>
        <v>4.9533799533799536</v>
      </c>
      <c r="K67">
        <f t="shared" ref="K67:K130" si="8">F67/E67</f>
        <v>1.1100000000000001</v>
      </c>
      <c r="L67">
        <f t="shared" ref="L67:L130" si="9">F67/G67</f>
        <v>22.408941176470588</v>
      </c>
      <c r="M67">
        <f t="shared" ref="M67:M130" si="10">H67/F67</f>
        <v>4.6762584262584257</v>
      </c>
      <c r="N67">
        <f t="shared" ref="N67:N130" si="11">(H67-F67)/F67*100</f>
        <v>367.62584262584261</v>
      </c>
    </row>
    <row r="68" spans="1:14" x14ac:dyDescent="0.3">
      <c r="A68" s="1">
        <v>46085</v>
      </c>
      <c r="B68" t="s">
        <v>26</v>
      </c>
      <c r="C68" t="s">
        <v>50</v>
      </c>
      <c r="D68">
        <v>50293</v>
      </c>
      <c r="E68">
        <v>1635</v>
      </c>
      <c r="F68">
        <v>948.3</v>
      </c>
      <c r="G68">
        <v>103</v>
      </c>
      <c r="H68">
        <v>7526.21</v>
      </c>
      <c r="I68">
        <f t="shared" si="6"/>
        <v>3.2509494363032632</v>
      </c>
      <c r="J68">
        <f t="shared" si="7"/>
        <v>6.2996941896024463</v>
      </c>
      <c r="K68">
        <f t="shared" si="8"/>
        <v>0.57999999999999996</v>
      </c>
      <c r="L68">
        <f t="shared" si="9"/>
        <v>9.2067961165048544</v>
      </c>
      <c r="M68">
        <f t="shared" si="10"/>
        <v>7.9365285247284616</v>
      </c>
      <c r="N68">
        <f t="shared" si="11"/>
        <v>693.65285247284612</v>
      </c>
    </row>
    <row r="69" spans="1:14" x14ac:dyDescent="0.3">
      <c r="A69" s="1">
        <v>46139</v>
      </c>
      <c r="B69" t="s">
        <v>18</v>
      </c>
      <c r="C69" t="s">
        <v>29</v>
      </c>
      <c r="D69">
        <v>52090</v>
      </c>
      <c r="E69">
        <v>2651</v>
      </c>
      <c r="F69">
        <v>2597.98</v>
      </c>
      <c r="G69">
        <v>106</v>
      </c>
      <c r="H69">
        <v>15241.74</v>
      </c>
      <c r="I69">
        <f t="shared" si="6"/>
        <v>5.0892685736225758</v>
      </c>
      <c r="J69">
        <f t="shared" si="7"/>
        <v>3.9984911354205961</v>
      </c>
      <c r="K69">
        <f t="shared" si="8"/>
        <v>0.98</v>
      </c>
      <c r="L69">
        <f t="shared" si="9"/>
        <v>24.509245283018867</v>
      </c>
      <c r="M69">
        <f t="shared" si="10"/>
        <v>5.8667657179808925</v>
      </c>
      <c r="N69">
        <f t="shared" si="11"/>
        <v>486.67657179808924</v>
      </c>
    </row>
    <row r="70" spans="1:14" x14ac:dyDescent="0.3">
      <c r="A70" s="1">
        <v>46038</v>
      </c>
      <c r="B70" t="s">
        <v>8</v>
      </c>
      <c r="C70" t="s">
        <v>51</v>
      </c>
      <c r="D70">
        <v>7192</v>
      </c>
      <c r="E70">
        <v>183</v>
      </c>
      <c r="F70">
        <v>296.45999999999998</v>
      </c>
      <c r="G70">
        <v>14</v>
      </c>
      <c r="H70">
        <v>452.62</v>
      </c>
      <c r="I70">
        <f t="shared" si="6"/>
        <v>2.5444938820912122</v>
      </c>
      <c r="J70">
        <f t="shared" si="7"/>
        <v>7.6502732240437163</v>
      </c>
      <c r="K70">
        <f t="shared" si="8"/>
        <v>1.6199999999999999</v>
      </c>
      <c r="L70">
        <f t="shared" si="9"/>
        <v>21.175714285714285</v>
      </c>
      <c r="M70">
        <f t="shared" si="10"/>
        <v>1.5267489711934157</v>
      </c>
      <c r="N70">
        <f t="shared" si="11"/>
        <v>52.67489711934158</v>
      </c>
    </row>
    <row r="71" spans="1:14" x14ac:dyDescent="0.3">
      <c r="A71" s="1">
        <v>46066</v>
      </c>
      <c r="B71" t="s">
        <v>11</v>
      </c>
      <c r="C71" t="s">
        <v>52</v>
      </c>
      <c r="D71">
        <v>77033</v>
      </c>
      <c r="E71">
        <v>3143</v>
      </c>
      <c r="F71">
        <v>10623.34</v>
      </c>
      <c r="G71">
        <v>139</v>
      </c>
      <c r="H71">
        <v>15783.45</v>
      </c>
      <c r="I71">
        <f t="shared" si="6"/>
        <v>4.0800695805693659</v>
      </c>
      <c r="J71">
        <f t="shared" si="7"/>
        <v>4.4225262488068724</v>
      </c>
      <c r="K71">
        <f t="shared" si="8"/>
        <v>3.38</v>
      </c>
      <c r="L71">
        <f t="shared" si="9"/>
        <v>76.426906474820143</v>
      </c>
      <c r="M71">
        <f t="shared" si="10"/>
        <v>1.4857333004497644</v>
      </c>
      <c r="N71">
        <f t="shared" si="11"/>
        <v>48.573330044976444</v>
      </c>
    </row>
    <row r="72" spans="1:14" x14ac:dyDescent="0.3">
      <c r="A72" s="1">
        <v>46049</v>
      </c>
      <c r="B72" t="s">
        <v>15</v>
      </c>
      <c r="C72" t="s">
        <v>53</v>
      </c>
      <c r="D72">
        <v>29585</v>
      </c>
      <c r="E72">
        <v>959</v>
      </c>
      <c r="F72">
        <v>1994.72</v>
      </c>
      <c r="G72">
        <v>50</v>
      </c>
      <c r="H72">
        <v>10762</v>
      </c>
      <c r="I72">
        <f t="shared" si="6"/>
        <v>3.2415075207030588</v>
      </c>
      <c r="J72">
        <f t="shared" si="7"/>
        <v>5.2137643378519289</v>
      </c>
      <c r="K72">
        <f t="shared" si="8"/>
        <v>2.08</v>
      </c>
      <c r="L72">
        <f t="shared" si="9"/>
        <v>39.894399999999997</v>
      </c>
      <c r="M72">
        <f t="shared" si="10"/>
        <v>5.3952434426886979</v>
      </c>
      <c r="N72">
        <f t="shared" si="11"/>
        <v>439.52434426886987</v>
      </c>
    </row>
    <row r="73" spans="1:14" x14ac:dyDescent="0.3">
      <c r="A73" s="1">
        <v>46086</v>
      </c>
      <c r="B73" t="s">
        <v>11</v>
      </c>
      <c r="C73" t="s">
        <v>21</v>
      </c>
      <c r="D73">
        <v>32927</v>
      </c>
      <c r="E73">
        <v>1923</v>
      </c>
      <c r="F73">
        <v>1942.23</v>
      </c>
      <c r="G73">
        <v>139</v>
      </c>
      <c r="H73">
        <v>16898.23</v>
      </c>
      <c r="I73">
        <f t="shared" si="6"/>
        <v>5.8401919397454973</v>
      </c>
      <c r="J73">
        <f t="shared" si="7"/>
        <v>7.2282891315652629</v>
      </c>
      <c r="K73">
        <f t="shared" si="8"/>
        <v>1.01</v>
      </c>
      <c r="L73">
        <f t="shared" si="9"/>
        <v>13.972877697841726</v>
      </c>
      <c r="M73">
        <f t="shared" si="10"/>
        <v>8.7004268289543454</v>
      </c>
      <c r="N73">
        <f t="shared" si="11"/>
        <v>770.04268289543461</v>
      </c>
    </row>
    <row r="74" spans="1:14" x14ac:dyDescent="0.3">
      <c r="A74" s="1">
        <v>46086</v>
      </c>
      <c r="B74" t="s">
        <v>18</v>
      </c>
      <c r="C74" t="s">
        <v>48</v>
      </c>
      <c r="D74">
        <v>42201</v>
      </c>
      <c r="E74">
        <v>1063</v>
      </c>
      <c r="F74">
        <v>3571.68</v>
      </c>
      <c r="G74">
        <v>94</v>
      </c>
      <c r="H74">
        <v>21126.5</v>
      </c>
      <c r="I74">
        <f t="shared" si="6"/>
        <v>2.5188976564536385</v>
      </c>
      <c r="J74">
        <f t="shared" si="7"/>
        <v>8.8428974600188148</v>
      </c>
      <c r="K74">
        <f t="shared" si="8"/>
        <v>3.36</v>
      </c>
      <c r="L74">
        <f t="shared" si="9"/>
        <v>37.996595744680846</v>
      </c>
      <c r="M74">
        <f t="shared" si="10"/>
        <v>5.9150035837477049</v>
      </c>
      <c r="N74">
        <f t="shared" si="11"/>
        <v>491.50035837477037</v>
      </c>
    </row>
    <row r="75" spans="1:14" x14ac:dyDescent="0.3">
      <c r="A75" s="1">
        <v>46141</v>
      </c>
      <c r="B75" t="s">
        <v>26</v>
      </c>
      <c r="C75" t="s">
        <v>44</v>
      </c>
      <c r="D75">
        <v>18298</v>
      </c>
      <c r="E75">
        <v>481</v>
      </c>
      <c r="F75">
        <v>288.60000000000002</v>
      </c>
      <c r="G75">
        <v>51</v>
      </c>
      <c r="H75">
        <v>11946.24</v>
      </c>
      <c r="I75">
        <f t="shared" si="6"/>
        <v>2.6287025904470434</v>
      </c>
      <c r="J75">
        <f t="shared" si="7"/>
        <v>10.602910602910603</v>
      </c>
      <c r="K75">
        <f t="shared" si="8"/>
        <v>0.60000000000000009</v>
      </c>
      <c r="L75">
        <f t="shared" si="9"/>
        <v>5.658823529411765</v>
      </c>
      <c r="M75">
        <f t="shared" si="10"/>
        <v>41.393762993762991</v>
      </c>
      <c r="N75">
        <f t="shared" si="11"/>
        <v>4039.3762993762989</v>
      </c>
    </row>
    <row r="76" spans="1:14" x14ac:dyDescent="0.3">
      <c r="A76" s="1">
        <v>46122</v>
      </c>
      <c r="B76" t="s">
        <v>11</v>
      </c>
      <c r="C76" t="s">
        <v>54</v>
      </c>
      <c r="D76">
        <v>24183</v>
      </c>
      <c r="E76">
        <v>568</v>
      </c>
      <c r="F76">
        <v>465.76</v>
      </c>
      <c r="G76">
        <v>66</v>
      </c>
      <c r="H76">
        <v>10407.540000000001</v>
      </c>
      <c r="I76">
        <f t="shared" si="6"/>
        <v>2.3487573915560516</v>
      </c>
      <c r="J76">
        <f t="shared" si="7"/>
        <v>11.619718309859154</v>
      </c>
      <c r="K76">
        <f t="shared" si="8"/>
        <v>0.82</v>
      </c>
      <c r="L76">
        <f t="shared" si="9"/>
        <v>7.0569696969696967</v>
      </c>
      <c r="M76">
        <f t="shared" si="10"/>
        <v>22.345285125386468</v>
      </c>
      <c r="N76">
        <f t="shared" si="11"/>
        <v>2134.5285125386467</v>
      </c>
    </row>
    <row r="77" spans="1:14" x14ac:dyDescent="0.3">
      <c r="A77" s="1">
        <v>46069</v>
      </c>
      <c r="B77" t="s">
        <v>15</v>
      </c>
      <c r="C77" t="s">
        <v>51</v>
      </c>
      <c r="D77">
        <v>61378</v>
      </c>
      <c r="E77">
        <v>706</v>
      </c>
      <c r="F77">
        <v>698.94</v>
      </c>
      <c r="G77">
        <v>35</v>
      </c>
      <c r="H77">
        <v>3407.95</v>
      </c>
      <c r="I77">
        <f t="shared" si="6"/>
        <v>1.1502492749845221</v>
      </c>
      <c r="J77">
        <f t="shared" si="7"/>
        <v>4.9575070821529748</v>
      </c>
      <c r="K77">
        <f t="shared" si="8"/>
        <v>0.9900000000000001</v>
      </c>
      <c r="L77">
        <f t="shared" si="9"/>
        <v>19.969714285714286</v>
      </c>
      <c r="M77">
        <f t="shared" si="10"/>
        <v>4.8758834806993443</v>
      </c>
      <c r="N77">
        <f t="shared" si="11"/>
        <v>387.58834806993445</v>
      </c>
    </row>
    <row r="78" spans="1:14" x14ac:dyDescent="0.3">
      <c r="A78" s="1">
        <v>46085</v>
      </c>
      <c r="B78" t="s">
        <v>26</v>
      </c>
      <c r="C78" t="s">
        <v>43</v>
      </c>
      <c r="D78">
        <v>75042</v>
      </c>
      <c r="E78">
        <v>2401</v>
      </c>
      <c r="F78">
        <v>6098.54</v>
      </c>
      <c r="G78">
        <v>141</v>
      </c>
      <c r="H78">
        <v>32499.09</v>
      </c>
      <c r="I78">
        <f t="shared" si="6"/>
        <v>3.1995415900429092</v>
      </c>
      <c r="J78">
        <f t="shared" si="7"/>
        <v>5.8725531028738027</v>
      </c>
      <c r="K78">
        <f t="shared" si="8"/>
        <v>2.54</v>
      </c>
      <c r="L78">
        <f t="shared" si="9"/>
        <v>43.252056737588653</v>
      </c>
      <c r="M78">
        <f t="shared" si="10"/>
        <v>5.3289951365408772</v>
      </c>
      <c r="N78">
        <f t="shared" si="11"/>
        <v>432.89951365408774</v>
      </c>
    </row>
    <row r="79" spans="1:14" x14ac:dyDescent="0.3">
      <c r="A79" s="1">
        <v>46061</v>
      </c>
      <c r="B79" t="s">
        <v>26</v>
      </c>
      <c r="C79" t="s">
        <v>36</v>
      </c>
      <c r="D79">
        <v>12963</v>
      </c>
      <c r="E79">
        <v>659</v>
      </c>
      <c r="F79">
        <v>1482.75</v>
      </c>
      <c r="G79">
        <v>16</v>
      </c>
      <c r="H79">
        <v>540.16</v>
      </c>
      <c r="I79">
        <f t="shared" si="6"/>
        <v>5.0836997608578258</v>
      </c>
      <c r="J79">
        <f t="shared" si="7"/>
        <v>2.4279210925644916</v>
      </c>
      <c r="K79">
        <f t="shared" si="8"/>
        <v>2.25</v>
      </c>
      <c r="L79">
        <f t="shared" si="9"/>
        <v>92.671875</v>
      </c>
      <c r="M79">
        <f t="shared" si="10"/>
        <v>0.36429607148878773</v>
      </c>
      <c r="N79">
        <f t="shared" si="11"/>
        <v>-63.570392851121227</v>
      </c>
    </row>
    <row r="80" spans="1:14" x14ac:dyDescent="0.3">
      <c r="A80" s="1">
        <v>46063</v>
      </c>
      <c r="B80" t="s">
        <v>15</v>
      </c>
      <c r="C80" t="s">
        <v>14</v>
      </c>
      <c r="D80">
        <v>70110</v>
      </c>
      <c r="E80">
        <v>2475</v>
      </c>
      <c r="F80">
        <v>7870.5</v>
      </c>
      <c r="G80">
        <v>269</v>
      </c>
      <c r="H80">
        <v>35066.839999999997</v>
      </c>
      <c r="I80">
        <f t="shared" si="6"/>
        <v>3.5301668806161741</v>
      </c>
      <c r="J80">
        <f t="shared" si="7"/>
        <v>10.868686868686869</v>
      </c>
      <c r="K80">
        <f t="shared" si="8"/>
        <v>3.18</v>
      </c>
      <c r="L80">
        <f t="shared" si="9"/>
        <v>29.258364312267659</v>
      </c>
      <c r="M80">
        <f t="shared" si="10"/>
        <v>4.4554780509497487</v>
      </c>
      <c r="N80">
        <f t="shared" si="11"/>
        <v>345.54780509497488</v>
      </c>
    </row>
    <row r="81" spans="1:14" x14ac:dyDescent="0.3">
      <c r="A81" s="1">
        <v>46100</v>
      </c>
      <c r="B81" t="s">
        <v>26</v>
      </c>
      <c r="C81" t="s">
        <v>21</v>
      </c>
      <c r="D81">
        <v>88607</v>
      </c>
      <c r="E81">
        <v>4652</v>
      </c>
      <c r="F81">
        <v>13816.44</v>
      </c>
      <c r="G81">
        <v>287</v>
      </c>
      <c r="H81">
        <v>46195.519999999997</v>
      </c>
      <c r="I81">
        <f t="shared" si="6"/>
        <v>5.2501495367183182</v>
      </c>
      <c r="J81">
        <f t="shared" si="7"/>
        <v>6.1693895098882203</v>
      </c>
      <c r="K81">
        <f t="shared" si="8"/>
        <v>2.97</v>
      </c>
      <c r="L81">
        <f t="shared" si="9"/>
        <v>48.140905923344953</v>
      </c>
      <c r="M81">
        <f t="shared" si="10"/>
        <v>3.3435183013858847</v>
      </c>
      <c r="N81">
        <f t="shared" si="11"/>
        <v>234.35183013858847</v>
      </c>
    </row>
    <row r="82" spans="1:14" x14ac:dyDescent="0.3">
      <c r="A82" s="1">
        <v>46093</v>
      </c>
      <c r="B82" t="s">
        <v>15</v>
      </c>
      <c r="C82" t="s">
        <v>51</v>
      </c>
      <c r="D82">
        <v>18971</v>
      </c>
      <c r="E82">
        <v>112</v>
      </c>
      <c r="F82">
        <v>286.72000000000003</v>
      </c>
      <c r="G82">
        <v>10</v>
      </c>
      <c r="H82">
        <v>1864.1</v>
      </c>
      <c r="I82">
        <f t="shared" si="6"/>
        <v>0.59037478256285902</v>
      </c>
      <c r="J82">
        <f t="shared" si="7"/>
        <v>8.9285714285714288</v>
      </c>
      <c r="K82">
        <f t="shared" si="8"/>
        <v>2.56</v>
      </c>
      <c r="L82">
        <f t="shared" si="9"/>
        <v>28.672000000000004</v>
      </c>
      <c r="M82">
        <f t="shared" si="10"/>
        <v>6.5014648437499991</v>
      </c>
      <c r="N82">
        <f t="shared" si="11"/>
        <v>550.14648437499989</v>
      </c>
    </row>
    <row r="83" spans="1:14" x14ac:dyDescent="0.3">
      <c r="A83" s="1">
        <v>46075</v>
      </c>
      <c r="B83" t="s">
        <v>20</v>
      </c>
      <c r="C83" t="s">
        <v>21</v>
      </c>
      <c r="D83">
        <v>42966</v>
      </c>
      <c r="E83">
        <v>1177</v>
      </c>
      <c r="F83">
        <v>3578.08</v>
      </c>
      <c r="G83">
        <v>93</v>
      </c>
      <c r="H83">
        <v>3106.2</v>
      </c>
      <c r="I83">
        <f t="shared" si="6"/>
        <v>2.7393753200204816</v>
      </c>
      <c r="J83">
        <f t="shared" si="7"/>
        <v>7.90144435004248</v>
      </c>
      <c r="K83">
        <f t="shared" si="8"/>
        <v>3.04</v>
      </c>
      <c r="L83">
        <f t="shared" si="9"/>
        <v>38.473978494623658</v>
      </c>
      <c r="M83">
        <f t="shared" si="10"/>
        <v>0.86811921477440412</v>
      </c>
      <c r="N83">
        <f t="shared" si="11"/>
        <v>-13.188078522559588</v>
      </c>
    </row>
    <row r="84" spans="1:14" x14ac:dyDescent="0.3">
      <c r="A84" s="1">
        <v>46063</v>
      </c>
      <c r="B84" t="s">
        <v>11</v>
      </c>
      <c r="C84" t="s">
        <v>25</v>
      </c>
      <c r="D84">
        <v>5903</v>
      </c>
      <c r="E84">
        <v>264</v>
      </c>
      <c r="F84">
        <v>855.36</v>
      </c>
      <c r="G84">
        <v>7</v>
      </c>
      <c r="H84">
        <v>789.11</v>
      </c>
      <c r="I84">
        <f t="shared" si="6"/>
        <v>4.4723022192105706</v>
      </c>
      <c r="J84">
        <f t="shared" si="7"/>
        <v>2.6515151515151514</v>
      </c>
      <c r="K84">
        <f t="shared" si="8"/>
        <v>3.24</v>
      </c>
      <c r="L84">
        <f t="shared" si="9"/>
        <v>122.19428571428571</v>
      </c>
      <c r="M84">
        <f t="shared" si="10"/>
        <v>0.9225472315750094</v>
      </c>
      <c r="N84">
        <f t="shared" si="11"/>
        <v>-7.7452768424990648</v>
      </c>
    </row>
    <row r="85" spans="1:14" x14ac:dyDescent="0.3">
      <c r="A85" s="1">
        <v>46139</v>
      </c>
      <c r="B85" t="s">
        <v>26</v>
      </c>
      <c r="C85" t="s">
        <v>40</v>
      </c>
      <c r="D85">
        <v>63144</v>
      </c>
      <c r="E85">
        <v>493</v>
      </c>
      <c r="F85">
        <v>976.14</v>
      </c>
      <c r="G85">
        <v>52</v>
      </c>
      <c r="H85">
        <v>8668.4</v>
      </c>
      <c r="I85">
        <f t="shared" si="6"/>
        <v>0.78075509945521349</v>
      </c>
      <c r="J85">
        <f t="shared" si="7"/>
        <v>10.547667342799189</v>
      </c>
      <c r="K85">
        <f t="shared" si="8"/>
        <v>1.98</v>
      </c>
      <c r="L85">
        <f t="shared" si="9"/>
        <v>18.771923076923077</v>
      </c>
      <c r="M85">
        <f t="shared" si="10"/>
        <v>8.8802835658819426</v>
      </c>
      <c r="N85">
        <f t="shared" si="11"/>
        <v>788.02835658819424</v>
      </c>
    </row>
    <row r="86" spans="1:14" x14ac:dyDescent="0.3">
      <c r="A86" s="1">
        <v>46059</v>
      </c>
      <c r="B86" t="s">
        <v>8</v>
      </c>
      <c r="C86" t="s">
        <v>35</v>
      </c>
      <c r="D86">
        <v>31375</v>
      </c>
      <c r="E86">
        <v>414</v>
      </c>
      <c r="F86">
        <v>741.06</v>
      </c>
      <c r="G86">
        <v>35</v>
      </c>
      <c r="H86">
        <v>2926</v>
      </c>
      <c r="I86">
        <f t="shared" si="6"/>
        <v>1.3195219123505975</v>
      </c>
      <c r="J86">
        <f t="shared" si="7"/>
        <v>8.454106280193237</v>
      </c>
      <c r="K86">
        <f t="shared" si="8"/>
        <v>1.7899999999999998</v>
      </c>
      <c r="L86">
        <f t="shared" si="9"/>
        <v>21.173142857142857</v>
      </c>
      <c r="M86">
        <f t="shared" si="10"/>
        <v>3.9483982403584057</v>
      </c>
      <c r="N86">
        <f t="shared" si="11"/>
        <v>294.83982403584059</v>
      </c>
    </row>
    <row r="87" spans="1:14" x14ac:dyDescent="0.3">
      <c r="A87" s="1">
        <v>46066</v>
      </c>
      <c r="B87" t="s">
        <v>26</v>
      </c>
      <c r="C87" t="s">
        <v>43</v>
      </c>
      <c r="D87">
        <v>85801</v>
      </c>
      <c r="E87">
        <v>3406</v>
      </c>
      <c r="F87">
        <v>6675.76</v>
      </c>
      <c r="G87">
        <v>338</v>
      </c>
      <c r="H87">
        <v>69634.759999999995</v>
      </c>
      <c r="I87">
        <f t="shared" si="6"/>
        <v>3.9696507033717556</v>
      </c>
      <c r="J87">
        <f t="shared" si="7"/>
        <v>9.9236641221374047</v>
      </c>
      <c r="K87">
        <f t="shared" si="8"/>
        <v>1.96</v>
      </c>
      <c r="L87">
        <f t="shared" si="9"/>
        <v>19.750769230769233</v>
      </c>
      <c r="M87">
        <f t="shared" si="10"/>
        <v>10.430986134911979</v>
      </c>
      <c r="N87">
        <f t="shared" si="11"/>
        <v>943.09861349119797</v>
      </c>
    </row>
    <row r="88" spans="1:14" x14ac:dyDescent="0.3">
      <c r="A88" s="1">
        <v>46032</v>
      </c>
      <c r="B88" t="s">
        <v>8</v>
      </c>
      <c r="C88" t="s">
        <v>45</v>
      </c>
      <c r="D88">
        <v>81582</v>
      </c>
      <c r="E88">
        <v>3973</v>
      </c>
      <c r="F88">
        <v>10528.45</v>
      </c>
      <c r="G88">
        <v>179</v>
      </c>
      <c r="H88">
        <v>25783.16</v>
      </c>
      <c r="I88">
        <f t="shared" si="6"/>
        <v>4.8699468019906353</v>
      </c>
      <c r="J88">
        <f t="shared" si="7"/>
        <v>4.5054115278127362</v>
      </c>
      <c r="K88">
        <f t="shared" si="8"/>
        <v>2.6500000000000004</v>
      </c>
      <c r="L88">
        <f t="shared" si="9"/>
        <v>58.818156424581012</v>
      </c>
      <c r="M88">
        <f t="shared" si="10"/>
        <v>2.4489036847779113</v>
      </c>
      <c r="N88">
        <f t="shared" si="11"/>
        <v>144.8903684777911</v>
      </c>
    </row>
    <row r="89" spans="1:14" x14ac:dyDescent="0.3">
      <c r="A89" s="1">
        <v>46083</v>
      </c>
      <c r="B89" t="s">
        <v>8</v>
      </c>
      <c r="C89" t="s">
        <v>55</v>
      </c>
      <c r="D89">
        <v>83811</v>
      </c>
      <c r="E89">
        <v>4819</v>
      </c>
      <c r="F89">
        <v>12384.83</v>
      </c>
      <c r="G89">
        <v>552</v>
      </c>
      <c r="H89">
        <v>16433.04</v>
      </c>
      <c r="I89">
        <f t="shared" si="6"/>
        <v>5.7498419061936978</v>
      </c>
      <c r="J89">
        <f t="shared" si="7"/>
        <v>11.454658642871966</v>
      </c>
      <c r="K89">
        <f t="shared" si="8"/>
        <v>2.57</v>
      </c>
      <c r="L89">
        <f t="shared" si="9"/>
        <v>22.436286231884058</v>
      </c>
      <c r="M89">
        <f t="shared" si="10"/>
        <v>1.3268684350128344</v>
      </c>
      <c r="N89">
        <f t="shared" si="11"/>
        <v>32.686843501283427</v>
      </c>
    </row>
    <row r="90" spans="1:14" x14ac:dyDescent="0.3">
      <c r="A90" s="1">
        <v>46042</v>
      </c>
      <c r="B90" t="s">
        <v>15</v>
      </c>
      <c r="C90" t="s">
        <v>56</v>
      </c>
      <c r="D90">
        <v>22852</v>
      </c>
      <c r="E90">
        <v>530</v>
      </c>
      <c r="F90">
        <v>461.1</v>
      </c>
      <c r="G90">
        <v>14</v>
      </c>
      <c r="H90">
        <v>1006.18</v>
      </c>
      <c r="I90">
        <f t="shared" si="6"/>
        <v>2.319271836163137</v>
      </c>
      <c r="J90">
        <f t="shared" si="7"/>
        <v>2.6415094339622645</v>
      </c>
      <c r="K90">
        <f t="shared" si="8"/>
        <v>0.87</v>
      </c>
      <c r="L90">
        <f t="shared" si="9"/>
        <v>32.93571428571429</v>
      </c>
      <c r="M90">
        <f t="shared" si="10"/>
        <v>2.182129689872045</v>
      </c>
      <c r="N90">
        <f t="shared" si="11"/>
        <v>118.21296898720448</v>
      </c>
    </row>
    <row r="91" spans="1:14" x14ac:dyDescent="0.3">
      <c r="A91" s="1">
        <v>46123</v>
      </c>
      <c r="B91" t="s">
        <v>11</v>
      </c>
      <c r="C91" t="s">
        <v>47</v>
      </c>
      <c r="D91">
        <v>76038</v>
      </c>
      <c r="E91">
        <v>2578</v>
      </c>
      <c r="F91">
        <v>8430.06</v>
      </c>
      <c r="G91">
        <v>86</v>
      </c>
      <c r="H91">
        <v>15232.32</v>
      </c>
      <c r="I91">
        <f t="shared" si="6"/>
        <v>3.3904100581288303</v>
      </c>
      <c r="J91">
        <f t="shared" si="7"/>
        <v>3.3359193173002328</v>
      </c>
      <c r="K91">
        <f t="shared" si="8"/>
        <v>3.27</v>
      </c>
      <c r="L91">
        <f t="shared" si="9"/>
        <v>98.023953488372086</v>
      </c>
      <c r="M91">
        <f t="shared" si="10"/>
        <v>1.8069052889303279</v>
      </c>
      <c r="N91">
        <f t="shared" si="11"/>
        <v>80.690528893032791</v>
      </c>
    </row>
    <row r="92" spans="1:14" x14ac:dyDescent="0.3">
      <c r="A92" s="1">
        <v>46038</v>
      </c>
      <c r="B92" t="s">
        <v>26</v>
      </c>
      <c r="C92" t="s">
        <v>56</v>
      </c>
      <c r="D92">
        <v>69915</v>
      </c>
      <c r="E92">
        <v>2398</v>
      </c>
      <c r="F92">
        <v>3069.44</v>
      </c>
      <c r="G92">
        <v>229</v>
      </c>
      <c r="H92">
        <v>21461.88</v>
      </c>
      <c r="I92">
        <f t="shared" si="6"/>
        <v>3.429879138954445</v>
      </c>
      <c r="J92">
        <f t="shared" si="7"/>
        <v>9.5496246872393655</v>
      </c>
      <c r="K92">
        <f t="shared" si="8"/>
        <v>1.28</v>
      </c>
      <c r="L92">
        <f t="shared" si="9"/>
        <v>13.403668122270743</v>
      </c>
      <c r="M92">
        <f t="shared" si="10"/>
        <v>6.9921158256880735</v>
      </c>
      <c r="N92">
        <f t="shared" si="11"/>
        <v>599.21158256880744</v>
      </c>
    </row>
    <row r="93" spans="1:14" x14ac:dyDescent="0.3">
      <c r="A93" s="1">
        <v>46047</v>
      </c>
      <c r="B93" t="s">
        <v>15</v>
      </c>
      <c r="C93" t="s">
        <v>21</v>
      </c>
      <c r="D93">
        <v>41976</v>
      </c>
      <c r="E93">
        <v>1910</v>
      </c>
      <c r="F93">
        <v>1508.9</v>
      </c>
      <c r="G93">
        <v>160</v>
      </c>
      <c r="H93">
        <v>24024</v>
      </c>
      <c r="I93">
        <f t="shared" si="6"/>
        <v>4.5502191728606824</v>
      </c>
      <c r="J93">
        <f t="shared" si="7"/>
        <v>8.3769633507853403</v>
      </c>
      <c r="K93">
        <f t="shared" si="8"/>
        <v>0.79</v>
      </c>
      <c r="L93">
        <f t="shared" si="9"/>
        <v>9.4306250000000009</v>
      </c>
      <c r="M93">
        <f t="shared" si="10"/>
        <v>15.921532242030617</v>
      </c>
      <c r="N93">
        <f t="shared" si="11"/>
        <v>1492.1532242030617</v>
      </c>
    </row>
    <row r="94" spans="1:14" x14ac:dyDescent="0.3">
      <c r="A94" s="1">
        <v>46058</v>
      </c>
      <c r="B94" t="s">
        <v>26</v>
      </c>
      <c r="C94" t="s">
        <v>17</v>
      </c>
      <c r="D94">
        <v>64018</v>
      </c>
      <c r="E94">
        <v>3553</v>
      </c>
      <c r="F94">
        <v>5293.97</v>
      </c>
      <c r="G94">
        <v>243</v>
      </c>
      <c r="H94">
        <v>24909.93</v>
      </c>
      <c r="I94">
        <f t="shared" si="6"/>
        <v>5.5500015620606709</v>
      </c>
      <c r="J94">
        <f t="shared" si="7"/>
        <v>6.839290740219532</v>
      </c>
      <c r="K94">
        <f t="shared" si="8"/>
        <v>1.49</v>
      </c>
      <c r="L94">
        <f t="shared" si="9"/>
        <v>21.785884773662552</v>
      </c>
      <c r="M94">
        <f t="shared" si="10"/>
        <v>4.7053402267107671</v>
      </c>
      <c r="N94">
        <f t="shared" si="11"/>
        <v>370.53402267107668</v>
      </c>
    </row>
    <row r="95" spans="1:14" x14ac:dyDescent="0.3">
      <c r="A95" s="1">
        <v>46135</v>
      </c>
      <c r="B95" t="s">
        <v>22</v>
      </c>
      <c r="C95" t="s">
        <v>38</v>
      </c>
      <c r="D95">
        <v>38709</v>
      </c>
      <c r="E95">
        <v>1757</v>
      </c>
      <c r="F95">
        <v>3022.04</v>
      </c>
      <c r="G95">
        <v>100</v>
      </c>
      <c r="H95">
        <v>22126</v>
      </c>
      <c r="I95">
        <f t="shared" si="6"/>
        <v>4.5389960990984006</v>
      </c>
      <c r="J95">
        <f t="shared" si="7"/>
        <v>5.6915196357427433</v>
      </c>
      <c r="K95">
        <f t="shared" si="8"/>
        <v>1.72</v>
      </c>
      <c r="L95">
        <f t="shared" si="9"/>
        <v>30.220399999999998</v>
      </c>
      <c r="M95">
        <f t="shared" si="10"/>
        <v>7.3215443872351127</v>
      </c>
      <c r="N95">
        <f t="shared" si="11"/>
        <v>632.15443872351125</v>
      </c>
    </row>
    <row r="96" spans="1:14" x14ac:dyDescent="0.3">
      <c r="A96" s="1">
        <v>46103</v>
      </c>
      <c r="B96" t="s">
        <v>18</v>
      </c>
      <c r="C96" t="s">
        <v>57</v>
      </c>
      <c r="D96">
        <v>53216</v>
      </c>
      <c r="E96">
        <v>1048</v>
      </c>
      <c r="F96">
        <v>2672.4</v>
      </c>
      <c r="G96">
        <v>110</v>
      </c>
      <c r="H96">
        <v>2893</v>
      </c>
      <c r="I96">
        <f t="shared" si="6"/>
        <v>1.9693325315694528</v>
      </c>
      <c r="J96">
        <f t="shared" si="7"/>
        <v>10.496183206106871</v>
      </c>
      <c r="K96">
        <f t="shared" si="8"/>
        <v>2.5500000000000003</v>
      </c>
      <c r="L96">
        <f t="shared" si="9"/>
        <v>24.294545454545457</v>
      </c>
      <c r="M96">
        <f t="shared" si="10"/>
        <v>1.0825475228259243</v>
      </c>
      <c r="N96">
        <f t="shared" si="11"/>
        <v>8.2547522825924222</v>
      </c>
    </row>
    <row r="97" spans="1:14" x14ac:dyDescent="0.3">
      <c r="A97" s="1">
        <v>46085</v>
      </c>
      <c r="B97" t="s">
        <v>8</v>
      </c>
      <c r="C97" t="s">
        <v>37</v>
      </c>
      <c r="D97">
        <v>32383</v>
      </c>
      <c r="E97">
        <v>615</v>
      </c>
      <c r="F97">
        <v>522.75</v>
      </c>
      <c r="G97">
        <v>52</v>
      </c>
      <c r="H97">
        <v>11420.76</v>
      </c>
      <c r="I97">
        <f t="shared" si="6"/>
        <v>1.8991446129141836</v>
      </c>
      <c r="J97">
        <f t="shared" si="7"/>
        <v>8.4552845528455283</v>
      </c>
      <c r="K97">
        <f t="shared" si="8"/>
        <v>0.85</v>
      </c>
      <c r="L97">
        <f t="shared" si="9"/>
        <v>10.052884615384615</v>
      </c>
      <c r="M97">
        <f t="shared" si="10"/>
        <v>21.847460545193687</v>
      </c>
      <c r="N97">
        <f t="shared" si="11"/>
        <v>2084.746054519369</v>
      </c>
    </row>
    <row r="98" spans="1:14" x14ac:dyDescent="0.3">
      <c r="A98" s="1">
        <v>46034</v>
      </c>
      <c r="B98" t="s">
        <v>26</v>
      </c>
      <c r="C98" t="s">
        <v>52</v>
      </c>
      <c r="D98">
        <v>43840</v>
      </c>
      <c r="E98">
        <v>1723</v>
      </c>
      <c r="F98">
        <v>4617.6400000000003</v>
      </c>
      <c r="G98">
        <v>138</v>
      </c>
      <c r="H98">
        <v>26130.3</v>
      </c>
      <c r="I98">
        <f t="shared" si="6"/>
        <v>3.9302007299270074</v>
      </c>
      <c r="J98">
        <f t="shared" si="7"/>
        <v>8.0092861288450372</v>
      </c>
      <c r="K98">
        <f t="shared" si="8"/>
        <v>2.68</v>
      </c>
      <c r="L98">
        <f t="shared" si="9"/>
        <v>33.46115942028986</v>
      </c>
      <c r="M98">
        <f t="shared" si="10"/>
        <v>5.6587997331970437</v>
      </c>
      <c r="N98">
        <f t="shared" si="11"/>
        <v>465.87997331970439</v>
      </c>
    </row>
    <row r="99" spans="1:14" x14ac:dyDescent="0.3">
      <c r="A99" s="1">
        <v>46077</v>
      </c>
      <c r="B99" t="s">
        <v>15</v>
      </c>
      <c r="C99" t="s">
        <v>30</v>
      </c>
      <c r="D99">
        <v>11522</v>
      </c>
      <c r="E99">
        <v>331</v>
      </c>
      <c r="F99">
        <v>191.98</v>
      </c>
      <c r="G99">
        <v>29</v>
      </c>
      <c r="H99">
        <v>2058.42</v>
      </c>
      <c r="I99">
        <f t="shared" si="6"/>
        <v>2.8727651449401144</v>
      </c>
      <c r="J99">
        <f t="shared" si="7"/>
        <v>8.761329305135952</v>
      </c>
      <c r="K99">
        <f t="shared" si="8"/>
        <v>0.57999999999999996</v>
      </c>
      <c r="L99">
        <f t="shared" si="9"/>
        <v>6.6199999999999992</v>
      </c>
      <c r="M99">
        <f t="shared" si="10"/>
        <v>10.722054380664654</v>
      </c>
      <c r="N99">
        <f t="shared" si="11"/>
        <v>972.20543806646538</v>
      </c>
    </row>
    <row r="100" spans="1:14" x14ac:dyDescent="0.3">
      <c r="A100" s="1">
        <v>46132</v>
      </c>
      <c r="B100" t="s">
        <v>8</v>
      </c>
      <c r="C100" t="s">
        <v>17</v>
      </c>
      <c r="D100">
        <v>7403</v>
      </c>
      <c r="E100">
        <v>405</v>
      </c>
      <c r="F100">
        <v>858.6</v>
      </c>
      <c r="G100">
        <v>27</v>
      </c>
      <c r="H100">
        <v>1655.37</v>
      </c>
      <c r="I100">
        <f t="shared" si="6"/>
        <v>5.4707550992840739</v>
      </c>
      <c r="J100">
        <f t="shared" si="7"/>
        <v>6.666666666666667</v>
      </c>
      <c r="K100">
        <f t="shared" si="8"/>
        <v>2.12</v>
      </c>
      <c r="L100">
        <f t="shared" si="9"/>
        <v>31.8</v>
      </c>
      <c r="M100">
        <f t="shared" si="10"/>
        <v>1.9279874213836476</v>
      </c>
      <c r="N100">
        <f t="shared" si="11"/>
        <v>92.798742138364759</v>
      </c>
    </row>
    <row r="101" spans="1:14" x14ac:dyDescent="0.3">
      <c r="A101" s="1">
        <v>46054</v>
      </c>
      <c r="B101" t="s">
        <v>18</v>
      </c>
      <c r="C101" t="s">
        <v>53</v>
      </c>
      <c r="D101">
        <v>45608</v>
      </c>
      <c r="E101">
        <v>369</v>
      </c>
      <c r="F101">
        <v>357.93</v>
      </c>
      <c r="G101">
        <v>14</v>
      </c>
      <c r="H101">
        <v>2172.2399999999998</v>
      </c>
      <c r="I101">
        <f t="shared" si="6"/>
        <v>0.80906858445886687</v>
      </c>
      <c r="J101">
        <f t="shared" si="7"/>
        <v>3.7940379403794036</v>
      </c>
      <c r="K101">
        <f t="shared" si="8"/>
        <v>0.97</v>
      </c>
      <c r="L101">
        <f t="shared" si="9"/>
        <v>25.56642857142857</v>
      </c>
      <c r="M101">
        <f t="shared" si="10"/>
        <v>6.0688961528790539</v>
      </c>
      <c r="N101">
        <f t="shared" si="11"/>
        <v>506.88961528790537</v>
      </c>
    </row>
    <row r="102" spans="1:14" x14ac:dyDescent="0.3">
      <c r="A102" s="1">
        <v>46136</v>
      </c>
      <c r="B102" t="s">
        <v>22</v>
      </c>
      <c r="C102" t="s">
        <v>34</v>
      </c>
      <c r="D102">
        <v>40036</v>
      </c>
      <c r="E102">
        <v>1149</v>
      </c>
      <c r="F102">
        <v>2183.1</v>
      </c>
      <c r="G102">
        <v>105</v>
      </c>
      <c r="H102">
        <v>18914.7</v>
      </c>
      <c r="I102">
        <f t="shared" si="6"/>
        <v>2.8699170746328306</v>
      </c>
      <c r="J102">
        <f t="shared" si="7"/>
        <v>9.1383812010443854</v>
      </c>
      <c r="K102">
        <f t="shared" si="8"/>
        <v>1.9</v>
      </c>
      <c r="L102">
        <f t="shared" si="9"/>
        <v>20.791428571428572</v>
      </c>
      <c r="M102">
        <f t="shared" si="10"/>
        <v>8.6641473134533467</v>
      </c>
      <c r="N102">
        <f t="shared" si="11"/>
        <v>766.41473134533476</v>
      </c>
    </row>
    <row r="103" spans="1:14" x14ac:dyDescent="0.3">
      <c r="A103" s="1">
        <v>46113</v>
      </c>
      <c r="B103" t="s">
        <v>20</v>
      </c>
      <c r="C103" t="s">
        <v>12</v>
      </c>
      <c r="D103">
        <v>68589</v>
      </c>
      <c r="E103">
        <v>1070</v>
      </c>
      <c r="F103">
        <v>2086.5</v>
      </c>
      <c r="G103">
        <v>102</v>
      </c>
      <c r="H103">
        <v>3447.6</v>
      </c>
      <c r="I103">
        <f t="shared" si="6"/>
        <v>1.5600169123328813</v>
      </c>
      <c r="J103">
        <f t="shared" si="7"/>
        <v>9.5327102803738324</v>
      </c>
      <c r="K103">
        <f t="shared" si="8"/>
        <v>1.95</v>
      </c>
      <c r="L103">
        <f t="shared" si="9"/>
        <v>20.455882352941178</v>
      </c>
      <c r="M103">
        <f t="shared" si="10"/>
        <v>1.6523364485981309</v>
      </c>
      <c r="N103">
        <f t="shared" si="11"/>
        <v>65.233644859813083</v>
      </c>
    </row>
    <row r="104" spans="1:14" x14ac:dyDescent="0.3">
      <c r="A104" s="1">
        <v>46138</v>
      </c>
      <c r="B104" t="s">
        <v>20</v>
      </c>
      <c r="C104" t="s">
        <v>41</v>
      </c>
      <c r="D104">
        <v>68245</v>
      </c>
      <c r="E104">
        <v>1099</v>
      </c>
      <c r="F104">
        <v>252.77</v>
      </c>
      <c r="G104">
        <v>63</v>
      </c>
      <c r="H104">
        <v>1888.74</v>
      </c>
      <c r="I104">
        <f t="shared" si="6"/>
        <v>1.6103743864019342</v>
      </c>
      <c r="J104">
        <f t="shared" si="7"/>
        <v>5.7324840764331215</v>
      </c>
      <c r="K104">
        <f t="shared" si="8"/>
        <v>0.23</v>
      </c>
      <c r="L104">
        <f t="shared" si="9"/>
        <v>4.0122222222222224</v>
      </c>
      <c r="M104">
        <f t="shared" si="10"/>
        <v>7.4721683744115204</v>
      </c>
      <c r="N104">
        <f t="shared" si="11"/>
        <v>647.21683744115205</v>
      </c>
    </row>
    <row r="105" spans="1:14" x14ac:dyDescent="0.3">
      <c r="A105" s="1">
        <v>46080</v>
      </c>
      <c r="B105" t="s">
        <v>20</v>
      </c>
      <c r="C105" t="s">
        <v>21</v>
      </c>
      <c r="D105">
        <v>32680</v>
      </c>
      <c r="E105">
        <v>859</v>
      </c>
      <c r="F105">
        <v>2662.9</v>
      </c>
      <c r="G105">
        <v>84</v>
      </c>
      <c r="H105">
        <v>5399.52</v>
      </c>
      <c r="I105">
        <f t="shared" si="6"/>
        <v>2.6285189718482251</v>
      </c>
      <c r="J105">
        <f t="shared" si="7"/>
        <v>9.7788125727590227</v>
      </c>
      <c r="K105">
        <f t="shared" si="8"/>
        <v>3.1</v>
      </c>
      <c r="L105">
        <f t="shared" si="9"/>
        <v>31.701190476190476</v>
      </c>
      <c r="M105">
        <f t="shared" si="10"/>
        <v>2.0276841037966129</v>
      </c>
      <c r="N105">
        <f t="shared" si="11"/>
        <v>102.76841037966129</v>
      </c>
    </row>
    <row r="106" spans="1:14" x14ac:dyDescent="0.3">
      <c r="A106" s="1">
        <v>46109</v>
      </c>
      <c r="B106" t="s">
        <v>20</v>
      </c>
      <c r="C106" t="s">
        <v>16</v>
      </c>
      <c r="D106">
        <v>8692</v>
      </c>
      <c r="E106">
        <v>114</v>
      </c>
      <c r="F106">
        <v>134.52000000000001</v>
      </c>
      <c r="G106">
        <v>10</v>
      </c>
      <c r="H106">
        <v>658.5</v>
      </c>
      <c r="I106">
        <f t="shared" si="6"/>
        <v>1.3115508513575702</v>
      </c>
      <c r="J106">
        <f t="shared" si="7"/>
        <v>8.7719298245614024</v>
      </c>
      <c r="K106">
        <f t="shared" si="8"/>
        <v>1.1800000000000002</v>
      </c>
      <c r="L106">
        <f t="shared" si="9"/>
        <v>13.452000000000002</v>
      </c>
      <c r="M106">
        <f t="shared" si="10"/>
        <v>4.895182872435325</v>
      </c>
      <c r="N106">
        <f t="shared" si="11"/>
        <v>389.51828724353254</v>
      </c>
    </row>
    <row r="107" spans="1:14" x14ac:dyDescent="0.3">
      <c r="A107" s="1">
        <v>46035</v>
      </c>
      <c r="B107" t="s">
        <v>11</v>
      </c>
      <c r="C107" t="s">
        <v>29</v>
      </c>
      <c r="D107">
        <v>17876</v>
      </c>
      <c r="E107">
        <v>417</v>
      </c>
      <c r="F107">
        <v>946.59</v>
      </c>
      <c r="G107">
        <v>49</v>
      </c>
      <c r="H107">
        <v>6352.85</v>
      </c>
      <c r="I107">
        <f t="shared" si="6"/>
        <v>2.3327366301185948</v>
      </c>
      <c r="J107">
        <f t="shared" si="7"/>
        <v>11.750599520383693</v>
      </c>
      <c r="K107">
        <f t="shared" si="8"/>
        <v>2.27</v>
      </c>
      <c r="L107">
        <f t="shared" si="9"/>
        <v>19.318163265306122</v>
      </c>
      <c r="M107">
        <f t="shared" si="10"/>
        <v>6.7113005630737703</v>
      </c>
      <c r="N107">
        <f t="shared" si="11"/>
        <v>571.130056307377</v>
      </c>
    </row>
    <row r="108" spans="1:14" x14ac:dyDescent="0.3">
      <c r="A108" s="1">
        <v>46064</v>
      </c>
      <c r="B108" t="s">
        <v>22</v>
      </c>
      <c r="C108" t="s">
        <v>19</v>
      </c>
      <c r="D108">
        <v>28872</v>
      </c>
      <c r="E108">
        <v>641</v>
      </c>
      <c r="F108">
        <v>1531.99</v>
      </c>
      <c r="G108">
        <v>69</v>
      </c>
      <c r="H108">
        <v>12219.9</v>
      </c>
      <c r="I108">
        <f t="shared" si="6"/>
        <v>2.2201440842338598</v>
      </c>
      <c r="J108">
        <f t="shared" si="7"/>
        <v>10.764430577223088</v>
      </c>
      <c r="K108">
        <f t="shared" si="8"/>
        <v>2.39</v>
      </c>
      <c r="L108">
        <f t="shared" si="9"/>
        <v>22.202753623188407</v>
      </c>
      <c r="M108">
        <f t="shared" si="10"/>
        <v>7.9764880971807903</v>
      </c>
      <c r="N108">
        <f t="shared" si="11"/>
        <v>697.64880971807906</v>
      </c>
    </row>
    <row r="109" spans="1:14" x14ac:dyDescent="0.3">
      <c r="A109" s="1">
        <v>46055</v>
      </c>
      <c r="B109" t="s">
        <v>20</v>
      </c>
      <c r="C109" t="s">
        <v>13</v>
      </c>
      <c r="D109">
        <v>3294</v>
      </c>
      <c r="E109">
        <v>122</v>
      </c>
      <c r="F109">
        <v>408.7</v>
      </c>
      <c r="G109">
        <v>12</v>
      </c>
      <c r="H109">
        <v>774</v>
      </c>
      <c r="I109">
        <f t="shared" si="6"/>
        <v>3.7037037037037033</v>
      </c>
      <c r="J109">
        <f t="shared" si="7"/>
        <v>9.8360655737704921</v>
      </c>
      <c r="K109">
        <f t="shared" si="8"/>
        <v>3.35</v>
      </c>
      <c r="L109">
        <f t="shared" si="9"/>
        <v>34.05833333333333</v>
      </c>
      <c r="M109">
        <f t="shared" si="10"/>
        <v>1.8938096403229754</v>
      </c>
      <c r="N109">
        <f t="shared" si="11"/>
        <v>89.380964032297541</v>
      </c>
    </row>
    <row r="110" spans="1:14" x14ac:dyDescent="0.3">
      <c r="A110" s="1">
        <v>46133</v>
      </c>
      <c r="B110" t="s">
        <v>11</v>
      </c>
      <c r="C110" t="s">
        <v>56</v>
      </c>
      <c r="D110">
        <v>56284</v>
      </c>
      <c r="E110">
        <v>2111</v>
      </c>
      <c r="F110">
        <v>6354.11</v>
      </c>
      <c r="G110">
        <v>39</v>
      </c>
      <c r="H110">
        <v>3272.88</v>
      </c>
      <c r="I110">
        <f t="shared" si="6"/>
        <v>3.7506218463506507</v>
      </c>
      <c r="J110">
        <f t="shared" si="7"/>
        <v>1.8474656560871625</v>
      </c>
      <c r="K110">
        <f t="shared" si="8"/>
        <v>3.01</v>
      </c>
      <c r="L110">
        <f t="shared" si="9"/>
        <v>162.92589743589744</v>
      </c>
      <c r="M110">
        <f t="shared" si="10"/>
        <v>0.51508079022868669</v>
      </c>
      <c r="N110">
        <f t="shared" si="11"/>
        <v>-48.491920977131329</v>
      </c>
    </row>
    <row r="111" spans="1:14" x14ac:dyDescent="0.3">
      <c r="A111" s="1">
        <v>46081</v>
      </c>
      <c r="B111" t="s">
        <v>26</v>
      </c>
      <c r="C111" t="s">
        <v>47</v>
      </c>
      <c r="D111">
        <v>71800</v>
      </c>
      <c r="E111">
        <v>1795</v>
      </c>
      <c r="F111">
        <v>843.65</v>
      </c>
      <c r="G111">
        <v>149</v>
      </c>
      <c r="H111">
        <v>28087.99</v>
      </c>
      <c r="I111">
        <f t="shared" si="6"/>
        <v>2.5</v>
      </c>
      <c r="J111">
        <f t="shared" si="7"/>
        <v>8.3008356545961011</v>
      </c>
      <c r="K111">
        <f t="shared" si="8"/>
        <v>0.47</v>
      </c>
      <c r="L111">
        <f t="shared" si="9"/>
        <v>5.6620805369127511</v>
      </c>
      <c r="M111">
        <f t="shared" si="10"/>
        <v>33.293415515912997</v>
      </c>
      <c r="N111">
        <f t="shared" si="11"/>
        <v>3229.3415515912998</v>
      </c>
    </row>
    <row r="112" spans="1:14" x14ac:dyDescent="0.3">
      <c r="A112" s="1">
        <v>46129</v>
      </c>
      <c r="B112" t="s">
        <v>22</v>
      </c>
      <c r="C112" t="s">
        <v>46</v>
      </c>
      <c r="D112">
        <v>29177</v>
      </c>
      <c r="E112">
        <v>1115</v>
      </c>
      <c r="F112">
        <v>2007</v>
      </c>
      <c r="G112">
        <v>92</v>
      </c>
      <c r="H112">
        <v>9789.7199999999993</v>
      </c>
      <c r="I112">
        <f t="shared" si="6"/>
        <v>3.8215032388525207</v>
      </c>
      <c r="J112">
        <f t="shared" si="7"/>
        <v>8.2511210762331846</v>
      </c>
      <c r="K112">
        <f t="shared" si="8"/>
        <v>1.8</v>
      </c>
      <c r="L112">
        <f t="shared" si="9"/>
        <v>21.815217391304348</v>
      </c>
      <c r="M112">
        <f t="shared" si="10"/>
        <v>4.8777877428998506</v>
      </c>
      <c r="N112">
        <f t="shared" si="11"/>
        <v>387.77877428998499</v>
      </c>
    </row>
    <row r="113" spans="1:14" x14ac:dyDescent="0.3">
      <c r="A113" s="1">
        <v>46117</v>
      </c>
      <c r="B113" t="s">
        <v>11</v>
      </c>
      <c r="C113" t="s">
        <v>33</v>
      </c>
      <c r="D113">
        <v>53356</v>
      </c>
      <c r="E113">
        <v>3036</v>
      </c>
      <c r="F113">
        <v>5616.6</v>
      </c>
      <c r="G113">
        <v>55</v>
      </c>
      <c r="H113">
        <v>3919.3</v>
      </c>
      <c r="I113">
        <f t="shared" si="6"/>
        <v>5.6900817152710097</v>
      </c>
      <c r="J113">
        <f t="shared" si="7"/>
        <v>1.8115942028985508</v>
      </c>
      <c r="K113">
        <f t="shared" si="8"/>
        <v>1.85</v>
      </c>
      <c r="L113">
        <f t="shared" si="9"/>
        <v>102.12</v>
      </c>
      <c r="M113">
        <f t="shared" si="10"/>
        <v>0.69780650215432827</v>
      </c>
      <c r="N113">
        <f t="shared" si="11"/>
        <v>-30.219349784567179</v>
      </c>
    </row>
    <row r="114" spans="1:14" x14ac:dyDescent="0.3">
      <c r="A114" s="1">
        <v>46033</v>
      </c>
      <c r="B114" t="s">
        <v>18</v>
      </c>
      <c r="C114" t="s">
        <v>42</v>
      </c>
      <c r="D114">
        <v>35150</v>
      </c>
      <c r="E114">
        <v>1687</v>
      </c>
      <c r="F114">
        <v>1029.07</v>
      </c>
      <c r="G114">
        <v>117</v>
      </c>
      <c r="H114">
        <v>2941.38</v>
      </c>
      <c r="I114">
        <f t="shared" si="6"/>
        <v>4.7994310099573259</v>
      </c>
      <c r="J114">
        <f t="shared" si="7"/>
        <v>6.9353882631890933</v>
      </c>
      <c r="K114">
        <f t="shared" si="8"/>
        <v>0.61</v>
      </c>
      <c r="L114">
        <f t="shared" si="9"/>
        <v>8.7954700854700842</v>
      </c>
      <c r="M114">
        <f t="shared" si="10"/>
        <v>2.8582895235503902</v>
      </c>
      <c r="N114">
        <f t="shared" si="11"/>
        <v>185.82895235503904</v>
      </c>
    </row>
    <row r="115" spans="1:14" x14ac:dyDescent="0.3">
      <c r="A115" s="1">
        <v>46061</v>
      </c>
      <c r="B115" t="s">
        <v>15</v>
      </c>
      <c r="C115" t="s">
        <v>10</v>
      </c>
      <c r="D115">
        <v>50376</v>
      </c>
      <c r="E115">
        <v>2398</v>
      </c>
      <c r="F115">
        <v>5635.3</v>
      </c>
      <c r="G115">
        <v>273</v>
      </c>
      <c r="H115">
        <v>65489.97</v>
      </c>
      <c r="I115">
        <f t="shared" si="6"/>
        <v>4.760203271399079</v>
      </c>
      <c r="J115">
        <f t="shared" si="7"/>
        <v>11.384487072560468</v>
      </c>
      <c r="K115">
        <f t="shared" si="8"/>
        <v>2.35</v>
      </c>
      <c r="L115">
        <f t="shared" si="9"/>
        <v>20.642124542124542</v>
      </c>
      <c r="M115">
        <f t="shared" si="10"/>
        <v>11.621381292921406</v>
      </c>
      <c r="N115">
        <f t="shared" si="11"/>
        <v>1062.1381292921405</v>
      </c>
    </row>
    <row r="116" spans="1:14" x14ac:dyDescent="0.3">
      <c r="A116" s="1">
        <v>46092</v>
      </c>
      <c r="B116" t="s">
        <v>15</v>
      </c>
      <c r="C116" t="s">
        <v>16</v>
      </c>
      <c r="D116">
        <v>65346</v>
      </c>
      <c r="E116">
        <v>3300</v>
      </c>
      <c r="F116">
        <v>5445</v>
      </c>
      <c r="G116">
        <v>334</v>
      </c>
      <c r="H116">
        <v>59629.02</v>
      </c>
      <c r="I116">
        <f t="shared" si="6"/>
        <v>5.0500413185198791</v>
      </c>
      <c r="J116">
        <f t="shared" si="7"/>
        <v>10.121212121212121</v>
      </c>
      <c r="K116">
        <f t="shared" si="8"/>
        <v>1.65</v>
      </c>
      <c r="L116">
        <f t="shared" si="9"/>
        <v>16.302395209580837</v>
      </c>
      <c r="M116">
        <f t="shared" si="10"/>
        <v>10.951151515151514</v>
      </c>
      <c r="N116">
        <f t="shared" si="11"/>
        <v>995.11515151515141</v>
      </c>
    </row>
    <row r="117" spans="1:14" x14ac:dyDescent="0.3">
      <c r="A117" s="1">
        <v>46140</v>
      </c>
      <c r="B117" t="s">
        <v>22</v>
      </c>
      <c r="C117" t="s">
        <v>51</v>
      </c>
      <c r="D117">
        <v>60586</v>
      </c>
      <c r="E117">
        <v>3569</v>
      </c>
      <c r="F117">
        <v>11527.87</v>
      </c>
      <c r="G117">
        <v>187</v>
      </c>
      <c r="H117">
        <v>33437.47</v>
      </c>
      <c r="I117">
        <f t="shared" si="6"/>
        <v>5.8907998547519229</v>
      </c>
      <c r="J117">
        <f t="shared" si="7"/>
        <v>5.239562902773887</v>
      </c>
      <c r="K117">
        <f t="shared" si="8"/>
        <v>3.2300000000000004</v>
      </c>
      <c r="L117">
        <f t="shared" si="9"/>
        <v>61.646363636363638</v>
      </c>
      <c r="M117">
        <f t="shared" si="10"/>
        <v>2.9005766026160948</v>
      </c>
      <c r="N117">
        <f t="shared" si="11"/>
        <v>190.05766026160944</v>
      </c>
    </row>
    <row r="118" spans="1:14" x14ac:dyDescent="0.3">
      <c r="A118" s="1">
        <v>46085</v>
      </c>
      <c r="B118" t="s">
        <v>26</v>
      </c>
      <c r="C118" t="s">
        <v>58</v>
      </c>
      <c r="D118">
        <v>8529</v>
      </c>
      <c r="E118">
        <v>465</v>
      </c>
      <c r="F118">
        <v>995.1</v>
      </c>
      <c r="G118">
        <v>23</v>
      </c>
      <c r="H118">
        <v>2583.36</v>
      </c>
      <c r="I118">
        <f t="shared" si="6"/>
        <v>5.4519873373197321</v>
      </c>
      <c r="J118">
        <f t="shared" si="7"/>
        <v>4.946236559139785</v>
      </c>
      <c r="K118">
        <f t="shared" si="8"/>
        <v>2.14</v>
      </c>
      <c r="L118">
        <f t="shared" si="9"/>
        <v>43.265217391304347</v>
      </c>
      <c r="M118">
        <f t="shared" si="10"/>
        <v>2.5960807958999097</v>
      </c>
      <c r="N118">
        <f t="shared" si="11"/>
        <v>159.60807958999098</v>
      </c>
    </row>
    <row r="119" spans="1:14" x14ac:dyDescent="0.3">
      <c r="A119" s="1">
        <v>46114</v>
      </c>
      <c r="B119" t="s">
        <v>8</v>
      </c>
      <c r="C119" t="s">
        <v>28</v>
      </c>
      <c r="D119">
        <v>24053</v>
      </c>
      <c r="E119">
        <v>673</v>
      </c>
      <c r="F119">
        <v>2153.6</v>
      </c>
      <c r="G119">
        <v>59</v>
      </c>
      <c r="H119">
        <v>3108.71</v>
      </c>
      <c r="I119">
        <f t="shared" si="6"/>
        <v>2.7979877769924748</v>
      </c>
      <c r="J119">
        <f t="shared" si="7"/>
        <v>8.7667161961367004</v>
      </c>
      <c r="K119">
        <f t="shared" si="8"/>
        <v>3.1999999999999997</v>
      </c>
      <c r="L119">
        <f t="shared" si="9"/>
        <v>36.501694915254234</v>
      </c>
      <c r="M119">
        <f t="shared" si="10"/>
        <v>1.4434946136701339</v>
      </c>
      <c r="N119">
        <f t="shared" si="11"/>
        <v>44.349461367013383</v>
      </c>
    </row>
    <row r="120" spans="1:14" x14ac:dyDescent="0.3">
      <c r="A120" s="1">
        <v>46113</v>
      </c>
      <c r="B120" t="s">
        <v>8</v>
      </c>
      <c r="C120" t="s">
        <v>59</v>
      </c>
      <c r="D120">
        <v>59586</v>
      </c>
      <c r="E120">
        <v>3349</v>
      </c>
      <c r="F120">
        <v>2813.16</v>
      </c>
      <c r="G120">
        <v>248</v>
      </c>
      <c r="H120">
        <v>18572.72</v>
      </c>
      <c r="I120">
        <f t="shared" si="6"/>
        <v>5.6204477561843387</v>
      </c>
      <c r="J120">
        <f t="shared" si="7"/>
        <v>7.4051955807703793</v>
      </c>
      <c r="K120">
        <f t="shared" si="8"/>
        <v>0.84</v>
      </c>
      <c r="L120">
        <f t="shared" si="9"/>
        <v>11.343387096774192</v>
      </c>
      <c r="M120">
        <f t="shared" si="10"/>
        <v>6.6020844886177832</v>
      </c>
      <c r="N120">
        <f t="shared" si="11"/>
        <v>560.20844886177827</v>
      </c>
    </row>
    <row r="121" spans="1:14" x14ac:dyDescent="0.3">
      <c r="A121" s="1">
        <v>46027</v>
      </c>
      <c r="B121" t="s">
        <v>26</v>
      </c>
      <c r="C121" t="s">
        <v>43</v>
      </c>
      <c r="D121">
        <v>38144</v>
      </c>
      <c r="E121">
        <v>2140</v>
      </c>
      <c r="F121">
        <v>4900.6000000000004</v>
      </c>
      <c r="G121">
        <v>173</v>
      </c>
      <c r="H121">
        <v>33278.28</v>
      </c>
      <c r="I121">
        <f t="shared" si="6"/>
        <v>5.6103187919463089</v>
      </c>
      <c r="J121">
        <f t="shared" si="7"/>
        <v>8.0841121495327108</v>
      </c>
      <c r="K121">
        <f t="shared" si="8"/>
        <v>2.29</v>
      </c>
      <c r="L121">
        <f t="shared" si="9"/>
        <v>28.327167630057804</v>
      </c>
      <c r="M121">
        <f t="shared" si="10"/>
        <v>6.7906542056074759</v>
      </c>
      <c r="N121">
        <f t="shared" si="11"/>
        <v>579.06542056074761</v>
      </c>
    </row>
    <row r="122" spans="1:14" x14ac:dyDescent="0.3">
      <c r="A122" s="1">
        <v>46121</v>
      </c>
      <c r="B122" t="s">
        <v>11</v>
      </c>
      <c r="C122" t="s">
        <v>25</v>
      </c>
      <c r="D122">
        <v>8931</v>
      </c>
      <c r="E122">
        <v>497</v>
      </c>
      <c r="F122">
        <v>536.76</v>
      </c>
      <c r="G122">
        <v>52</v>
      </c>
      <c r="H122">
        <v>6323.72</v>
      </c>
      <c r="I122">
        <f t="shared" si="6"/>
        <v>5.5648863509125519</v>
      </c>
      <c r="J122">
        <f t="shared" si="7"/>
        <v>10.46277665995976</v>
      </c>
      <c r="K122">
        <f t="shared" si="8"/>
        <v>1.08</v>
      </c>
      <c r="L122">
        <f t="shared" si="9"/>
        <v>10.322307692307692</v>
      </c>
      <c r="M122">
        <f t="shared" si="10"/>
        <v>11.781280274238021</v>
      </c>
      <c r="N122">
        <f t="shared" si="11"/>
        <v>1078.1280274238022</v>
      </c>
    </row>
    <row r="123" spans="1:14" x14ac:dyDescent="0.3">
      <c r="A123" s="1">
        <v>46038</v>
      </c>
      <c r="B123" t="s">
        <v>26</v>
      </c>
      <c r="C123" t="s">
        <v>53</v>
      </c>
      <c r="D123">
        <v>72314</v>
      </c>
      <c r="E123">
        <v>1265</v>
      </c>
      <c r="F123">
        <v>3858.25</v>
      </c>
      <c r="G123">
        <v>45</v>
      </c>
      <c r="H123">
        <v>3597.75</v>
      </c>
      <c r="I123">
        <f t="shared" si="6"/>
        <v>1.7493154852449042</v>
      </c>
      <c r="J123">
        <f t="shared" si="7"/>
        <v>3.5573122529644272</v>
      </c>
      <c r="K123">
        <f t="shared" si="8"/>
        <v>3.05</v>
      </c>
      <c r="L123">
        <f t="shared" si="9"/>
        <v>85.738888888888894</v>
      </c>
      <c r="M123">
        <f t="shared" si="10"/>
        <v>0.93248234303116695</v>
      </c>
      <c r="N123">
        <f t="shared" si="11"/>
        <v>-6.751765696883302</v>
      </c>
    </row>
    <row r="124" spans="1:14" x14ac:dyDescent="0.3">
      <c r="A124" s="1">
        <v>46088</v>
      </c>
      <c r="B124" t="s">
        <v>11</v>
      </c>
      <c r="C124" t="s">
        <v>24</v>
      </c>
      <c r="D124">
        <v>26852</v>
      </c>
      <c r="E124">
        <v>1079</v>
      </c>
      <c r="F124">
        <v>571.87</v>
      </c>
      <c r="G124">
        <v>87</v>
      </c>
      <c r="H124">
        <v>17474.82</v>
      </c>
      <c r="I124">
        <f t="shared" si="6"/>
        <v>4.0183226575301658</v>
      </c>
      <c r="J124">
        <f t="shared" si="7"/>
        <v>8.0630213160333639</v>
      </c>
      <c r="K124">
        <f t="shared" si="8"/>
        <v>0.53</v>
      </c>
      <c r="L124">
        <f t="shared" si="9"/>
        <v>6.5732183908045974</v>
      </c>
      <c r="M124">
        <f t="shared" si="10"/>
        <v>30.557329462989841</v>
      </c>
      <c r="N124">
        <f t="shared" si="11"/>
        <v>2955.7329462989842</v>
      </c>
    </row>
    <row r="125" spans="1:14" x14ac:dyDescent="0.3">
      <c r="A125" s="1">
        <v>46129</v>
      </c>
      <c r="B125" t="s">
        <v>18</v>
      </c>
      <c r="C125" t="s">
        <v>54</v>
      </c>
      <c r="D125">
        <v>89788</v>
      </c>
      <c r="E125">
        <v>2460</v>
      </c>
      <c r="F125">
        <v>2189.4</v>
      </c>
      <c r="G125">
        <v>178</v>
      </c>
      <c r="H125">
        <v>7025.66</v>
      </c>
      <c r="I125">
        <f t="shared" si="6"/>
        <v>2.739787053949303</v>
      </c>
      <c r="J125">
        <f t="shared" si="7"/>
        <v>7.2357723577235769</v>
      </c>
      <c r="K125">
        <f t="shared" si="8"/>
        <v>0.89</v>
      </c>
      <c r="L125">
        <f t="shared" si="9"/>
        <v>12.3</v>
      </c>
      <c r="M125">
        <f t="shared" si="10"/>
        <v>3.2089430894308939</v>
      </c>
      <c r="N125">
        <f t="shared" si="11"/>
        <v>220.89430894308944</v>
      </c>
    </row>
    <row r="126" spans="1:14" x14ac:dyDescent="0.3">
      <c r="A126" s="1">
        <v>46033</v>
      </c>
      <c r="B126" t="s">
        <v>11</v>
      </c>
      <c r="C126" t="s">
        <v>41</v>
      </c>
      <c r="D126">
        <v>61220</v>
      </c>
      <c r="E126">
        <v>1531</v>
      </c>
      <c r="F126">
        <v>3735.64</v>
      </c>
      <c r="G126">
        <v>131</v>
      </c>
      <c r="H126">
        <v>23842</v>
      </c>
      <c r="I126">
        <f t="shared" si="6"/>
        <v>2.5008167265599477</v>
      </c>
      <c r="J126">
        <f t="shared" si="7"/>
        <v>8.5564990202482036</v>
      </c>
      <c r="K126">
        <f t="shared" si="8"/>
        <v>2.44</v>
      </c>
      <c r="L126">
        <f t="shared" si="9"/>
        <v>28.516335877862595</v>
      </c>
      <c r="M126">
        <f t="shared" si="10"/>
        <v>6.3823066462507096</v>
      </c>
      <c r="N126">
        <f t="shared" si="11"/>
        <v>538.23066462507097</v>
      </c>
    </row>
    <row r="127" spans="1:14" x14ac:dyDescent="0.3">
      <c r="A127" s="1">
        <v>46049</v>
      </c>
      <c r="B127" t="s">
        <v>8</v>
      </c>
      <c r="C127" t="s">
        <v>10</v>
      </c>
      <c r="D127">
        <v>63645</v>
      </c>
      <c r="E127">
        <v>1916</v>
      </c>
      <c r="F127">
        <v>5901.28</v>
      </c>
      <c r="G127">
        <v>142</v>
      </c>
      <c r="H127">
        <v>33635.54</v>
      </c>
      <c r="I127">
        <f t="shared" si="6"/>
        <v>3.0104485819781601</v>
      </c>
      <c r="J127">
        <f t="shared" si="7"/>
        <v>7.4112734864300629</v>
      </c>
      <c r="K127">
        <f t="shared" si="8"/>
        <v>3.08</v>
      </c>
      <c r="L127">
        <f t="shared" si="9"/>
        <v>41.558309859154924</v>
      </c>
      <c r="M127">
        <f t="shared" si="10"/>
        <v>5.6997024374373018</v>
      </c>
      <c r="N127">
        <f t="shared" si="11"/>
        <v>469.97024374373029</v>
      </c>
    </row>
    <row r="128" spans="1:14" x14ac:dyDescent="0.3">
      <c r="A128" s="1">
        <v>46024</v>
      </c>
      <c r="B128" t="s">
        <v>22</v>
      </c>
      <c r="C128" t="s">
        <v>41</v>
      </c>
      <c r="D128">
        <v>69205</v>
      </c>
      <c r="E128">
        <v>2118</v>
      </c>
      <c r="F128">
        <v>1186.08</v>
      </c>
      <c r="G128">
        <v>45</v>
      </c>
      <c r="H128">
        <v>3354.75</v>
      </c>
      <c r="I128">
        <f t="shared" si="6"/>
        <v>3.0604725092117624</v>
      </c>
      <c r="J128">
        <f t="shared" si="7"/>
        <v>2.1246458923512748</v>
      </c>
      <c r="K128">
        <f t="shared" si="8"/>
        <v>0.55999999999999994</v>
      </c>
      <c r="L128">
        <f t="shared" si="9"/>
        <v>26.357333333333333</v>
      </c>
      <c r="M128">
        <f t="shared" si="10"/>
        <v>2.8284348441926346</v>
      </c>
      <c r="N128">
        <f t="shared" si="11"/>
        <v>182.84348441926349</v>
      </c>
    </row>
    <row r="129" spans="1:14" x14ac:dyDescent="0.3">
      <c r="A129" s="1">
        <v>46087</v>
      </c>
      <c r="B129" t="s">
        <v>8</v>
      </c>
      <c r="C129" t="s">
        <v>30</v>
      </c>
      <c r="D129">
        <v>26276</v>
      </c>
      <c r="E129">
        <v>1437</v>
      </c>
      <c r="F129">
        <v>2227.35</v>
      </c>
      <c r="G129">
        <v>100</v>
      </c>
      <c r="H129">
        <v>7115</v>
      </c>
      <c r="I129">
        <f t="shared" si="6"/>
        <v>5.4688689298218911</v>
      </c>
      <c r="J129">
        <f t="shared" si="7"/>
        <v>6.9589422407794022</v>
      </c>
      <c r="K129">
        <f t="shared" si="8"/>
        <v>1.55</v>
      </c>
      <c r="L129">
        <f t="shared" si="9"/>
        <v>22.273499999999999</v>
      </c>
      <c r="M129">
        <f t="shared" si="10"/>
        <v>3.1943789705255123</v>
      </c>
      <c r="N129">
        <f t="shared" si="11"/>
        <v>219.43789705255122</v>
      </c>
    </row>
    <row r="130" spans="1:14" x14ac:dyDescent="0.3">
      <c r="A130" s="1">
        <v>46112</v>
      </c>
      <c r="B130" t="s">
        <v>26</v>
      </c>
      <c r="C130" t="s">
        <v>28</v>
      </c>
      <c r="D130">
        <v>4168</v>
      </c>
      <c r="E130">
        <v>214</v>
      </c>
      <c r="F130">
        <v>507.18</v>
      </c>
      <c r="G130">
        <v>26</v>
      </c>
      <c r="H130">
        <v>3286.14</v>
      </c>
      <c r="I130">
        <f t="shared" si="6"/>
        <v>5.134357005758158</v>
      </c>
      <c r="J130">
        <f t="shared" si="7"/>
        <v>12.149532710280374</v>
      </c>
      <c r="K130">
        <f t="shared" si="8"/>
        <v>2.37</v>
      </c>
      <c r="L130">
        <f t="shared" si="9"/>
        <v>19.506923076923076</v>
      </c>
      <c r="M130">
        <f t="shared" si="10"/>
        <v>6.4792381403052168</v>
      </c>
      <c r="N130">
        <f t="shared" si="11"/>
        <v>547.92381403052173</v>
      </c>
    </row>
    <row r="131" spans="1:14" x14ac:dyDescent="0.3">
      <c r="A131" s="1">
        <v>46051</v>
      </c>
      <c r="B131" t="s">
        <v>18</v>
      </c>
      <c r="C131" t="s">
        <v>49</v>
      </c>
      <c r="D131">
        <v>53958</v>
      </c>
      <c r="E131">
        <v>3151</v>
      </c>
      <c r="F131">
        <v>3907.24</v>
      </c>
      <c r="G131">
        <v>292</v>
      </c>
      <c r="H131">
        <v>33416.480000000003</v>
      </c>
      <c r="I131">
        <f t="shared" ref="I131:I194" si="12">E131/D131*100</f>
        <v>5.8397271952259171</v>
      </c>
      <c r="J131">
        <f t="shared" ref="J131:J194" si="13">G131/E131*100</f>
        <v>9.2668993970168199</v>
      </c>
      <c r="K131">
        <f t="shared" ref="K131:K194" si="14">F131/E131</f>
        <v>1.24</v>
      </c>
      <c r="L131">
        <f t="shared" ref="L131:L194" si="15">F131/G131</f>
        <v>13.380958904109589</v>
      </c>
      <c r="M131">
        <f t="shared" ref="M131:M194" si="16">H131/F131</f>
        <v>8.5524513467306864</v>
      </c>
      <c r="N131">
        <f t="shared" ref="N131:N194" si="17">(H131-F131)/F131*100</f>
        <v>755.24513467306861</v>
      </c>
    </row>
    <row r="132" spans="1:14" x14ac:dyDescent="0.3">
      <c r="A132" s="1">
        <v>46057</v>
      </c>
      <c r="B132" t="s">
        <v>15</v>
      </c>
      <c r="C132" t="s">
        <v>57</v>
      </c>
      <c r="D132">
        <v>10976</v>
      </c>
      <c r="E132">
        <v>490</v>
      </c>
      <c r="F132">
        <v>1313.2</v>
      </c>
      <c r="G132">
        <v>24</v>
      </c>
      <c r="H132">
        <v>5404.32</v>
      </c>
      <c r="I132">
        <f t="shared" si="12"/>
        <v>4.4642857142857144</v>
      </c>
      <c r="J132">
        <f t="shared" si="13"/>
        <v>4.8979591836734695</v>
      </c>
      <c r="K132">
        <f t="shared" si="14"/>
        <v>2.68</v>
      </c>
      <c r="L132">
        <f t="shared" si="15"/>
        <v>54.716666666666669</v>
      </c>
      <c r="M132">
        <f t="shared" si="16"/>
        <v>4.1153822723119093</v>
      </c>
      <c r="N132">
        <f t="shared" si="17"/>
        <v>311.538227231191</v>
      </c>
    </row>
    <row r="133" spans="1:14" x14ac:dyDescent="0.3">
      <c r="A133" s="1">
        <v>46105</v>
      </c>
      <c r="B133" t="s">
        <v>18</v>
      </c>
      <c r="C133" t="s">
        <v>17</v>
      </c>
      <c r="D133">
        <v>7061</v>
      </c>
      <c r="E133">
        <v>145</v>
      </c>
      <c r="F133">
        <v>152.25</v>
      </c>
      <c r="G133">
        <v>7</v>
      </c>
      <c r="H133">
        <v>196.35</v>
      </c>
      <c r="I133">
        <f t="shared" si="12"/>
        <v>2.0535334938393999</v>
      </c>
      <c r="J133">
        <f t="shared" si="13"/>
        <v>4.8275862068965516</v>
      </c>
      <c r="K133">
        <f t="shared" si="14"/>
        <v>1.05</v>
      </c>
      <c r="L133">
        <f t="shared" si="15"/>
        <v>21.75</v>
      </c>
      <c r="M133">
        <f t="shared" si="16"/>
        <v>1.289655172413793</v>
      </c>
      <c r="N133">
        <f t="shared" si="17"/>
        <v>28.965517241379306</v>
      </c>
    </row>
    <row r="134" spans="1:14" x14ac:dyDescent="0.3">
      <c r="A134" s="1">
        <v>46096</v>
      </c>
      <c r="B134" t="s">
        <v>15</v>
      </c>
      <c r="C134" t="s">
        <v>52</v>
      </c>
      <c r="D134">
        <v>59100</v>
      </c>
      <c r="E134">
        <v>3487</v>
      </c>
      <c r="F134">
        <v>7671.4</v>
      </c>
      <c r="G134">
        <v>335</v>
      </c>
      <c r="H134">
        <v>34099.65</v>
      </c>
      <c r="I134">
        <f t="shared" si="12"/>
        <v>5.9001692047377325</v>
      </c>
      <c r="J134">
        <f t="shared" si="13"/>
        <v>9.6071121307714371</v>
      </c>
      <c r="K134">
        <f t="shared" si="14"/>
        <v>2.1999999999999997</v>
      </c>
      <c r="L134">
        <f t="shared" si="15"/>
        <v>22.899701492537311</v>
      </c>
      <c r="M134">
        <f t="shared" si="16"/>
        <v>4.4450361081419301</v>
      </c>
      <c r="N134">
        <f t="shared" si="17"/>
        <v>344.503610814193</v>
      </c>
    </row>
    <row r="135" spans="1:14" x14ac:dyDescent="0.3">
      <c r="A135" s="1">
        <v>46071</v>
      </c>
      <c r="B135" t="s">
        <v>8</v>
      </c>
      <c r="C135" t="s">
        <v>51</v>
      </c>
      <c r="D135">
        <v>66473</v>
      </c>
      <c r="E135">
        <v>2991</v>
      </c>
      <c r="F135">
        <v>8464.5300000000007</v>
      </c>
      <c r="G135">
        <v>263</v>
      </c>
      <c r="H135">
        <v>38692.559999999998</v>
      </c>
      <c r="I135">
        <f t="shared" si="12"/>
        <v>4.4995712544943061</v>
      </c>
      <c r="J135">
        <f t="shared" si="13"/>
        <v>8.7930458040789023</v>
      </c>
      <c r="K135">
        <f t="shared" si="14"/>
        <v>2.83</v>
      </c>
      <c r="L135">
        <f t="shared" si="15"/>
        <v>32.184524714828903</v>
      </c>
      <c r="M135">
        <f t="shared" si="16"/>
        <v>4.571140984791831</v>
      </c>
      <c r="N135">
        <f t="shared" si="17"/>
        <v>357.1140984791831</v>
      </c>
    </row>
    <row r="136" spans="1:14" x14ac:dyDescent="0.3">
      <c r="A136" s="1">
        <v>46041</v>
      </c>
      <c r="B136" t="s">
        <v>22</v>
      </c>
      <c r="C136" t="s">
        <v>44</v>
      </c>
      <c r="D136">
        <v>69903</v>
      </c>
      <c r="E136">
        <v>2230</v>
      </c>
      <c r="F136">
        <v>1248.8</v>
      </c>
      <c r="G136">
        <v>38</v>
      </c>
      <c r="H136">
        <v>3223.92</v>
      </c>
      <c r="I136">
        <f t="shared" si="12"/>
        <v>3.1901349012202624</v>
      </c>
      <c r="J136">
        <f t="shared" si="13"/>
        <v>1.7040358744394617</v>
      </c>
      <c r="K136">
        <f t="shared" si="14"/>
        <v>0.55999999999999994</v>
      </c>
      <c r="L136">
        <f t="shared" si="15"/>
        <v>32.863157894736844</v>
      </c>
      <c r="M136">
        <f t="shared" si="16"/>
        <v>2.5816143497757849</v>
      </c>
      <c r="N136">
        <f t="shared" si="17"/>
        <v>158.16143497757849</v>
      </c>
    </row>
    <row r="137" spans="1:14" x14ac:dyDescent="0.3">
      <c r="A137" s="1">
        <v>46103</v>
      </c>
      <c r="B137" t="s">
        <v>18</v>
      </c>
      <c r="C137" t="s">
        <v>42</v>
      </c>
      <c r="D137">
        <v>10172</v>
      </c>
      <c r="E137">
        <v>531</v>
      </c>
      <c r="F137">
        <v>578.79</v>
      </c>
      <c r="G137">
        <v>60</v>
      </c>
      <c r="H137">
        <v>8878.2000000000007</v>
      </c>
      <c r="I137">
        <f t="shared" si="12"/>
        <v>5.2202123476209197</v>
      </c>
      <c r="J137">
        <f t="shared" si="13"/>
        <v>11.299435028248588</v>
      </c>
      <c r="K137">
        <f t="shared" si="14"/>
        <v>1.0899999999999999</v>
      </c>
      <c r="L137">
        <f t="shared" si="15"/>
        <v>9.6464999999999996</v>
      </c>
      <c r="M137">
        <f t="shared" si="16"/>
        <v>15.339242212201318</v>
      </c>
      <c r="N137">
        <f t="shared" si="17"/>
        <v>1433.9242212201316</v>
      </c>
    </row>
    <row r="138" spans="1:14" x14ac:dyDescent="0.3">
      <c r="A138" s="1">
        <v>46132</v>
      </c>
      <c r="B138" t="s">
        <v>20</v>
      </c>
      <c r="C138" t="s">
        <v>57</v>
      </c>
      <c r="D138">
        <v>9966</v>
      </c>
      <c r="E138">
        <v>527</v>
      </c>
      <c r="F138">
        <v>1528.3</v>
      </c>
      <c r="G138">
        <v>51</v>
      </c>
      <c r="H138">
        <v>1356.09</v>
      </c>
      <c r="I138">
        <f t="shared" si="12"/>
        <v>5.2879791290387317</v>
      </c>
      <c r="J138">
        <f t="shared" si="13"/>
        <v>9.67741935483871</v>
      </c>
      <c r="K138">
        <f t="shared" si="14"/>
        <v>2.9</v>
      </c>
      <c r="L138">
        <f t="shared" si="15"/>
        <v>29.966666666666665</v>
      </c>
      <c r="M138">
        <f t="shared" si="16"/>
        <v>0.88731924360400438</v>
      </c>
      <c r="N138">
        <f t="shared" si="17"/>
        <v>-11.268075639599557</v>
      </c>
    </row>
    <row r="139" spans="1:14" x14ac:dyDescent="0.3">
      <c r="A139" s="1">
        <v>46129</v>
      </c>
      <c r="B139" t="s">
        <v>18</v>
      </c>
      <c r="C139" t="s">
        <v>53</v>
      </c>
      <c r="D139">
        <v>29137</v>
      </c>
      <c r="E139">
        <v>813</v>
      </c>
      <c r="F139">
        <v>934.95</v>
      </c>
      <c r="G139">
        <v>87</v>
      </c>
      <c r="H139">
        <v>4120.32</v>
      </c>
      <c r="I139">
        <f t="shared" si="12"/>
        <v>2.7902666712427497</v>
      </c>
      <c r="J139">
        <f t="shared" si="13"/>
        <v>10.701107011070111</v>
      </c>
      <c r="K139">
        <f t="shared" si="14"/>
        <v>1.1500000000000001</v>
      </c>
      <c r="L139">
        <f t="shared" si="15"/>
        <v>10.746551724137932</v>
      </c>
      <c r="M139">
        <f t="shared" si="16"/>
        <v>4.4069950264720035</v>
      </c>
      <c r="N139">
        <f t="shared" si="17"/>
        <v>340.69950264720035</v>
      </c>
    </row>
    <row r="140" spans="1:14" x14ac:dyDescent="0.3">
      <c r="A140" s="1">
        <v>46119</v>
      </c>
      <c r="B140" t="s">
        <v>18</v>
      </c>
      <c r="C140" t="s">
        <v>33</v>
      </c>
      <c r="D140">
        <v>56696</v>
      </c>
      <c r="E140">
        <v>2551</v>
      </c>
      <c r="F140">
        <v>8469.32</v>
      </c>
      <c r="G140">
        <v>154</v>
      </c>
      <c r="H140">
        <v>25080.44</v>
      </c>
      <c r="I140">
        <f t="shared" si="12"/>
        <v>4.499435586284747</v>
      </c>
      <c r="J140">
        <f t="shared" si="13"/>
        <v>6.036848294786358</v>
      </c>
      <c r="K140">
        <f t="shared" si="14"/>
        <v>3.32</v>
      </c>
      <c r="L140">
        <f t="shared" si="15"/>
        <v>54.99558441558441</v>
      </c>
      <c r="M140">
        <f t="shared" si="16"/>
        <v>2.9613286544846575</v>
      </c>
      <c r="N140">
        <f t="shared" si="17"/>
        <v>196.13286544846576</v>
      </c>
    </row>
    <row r="141" spans="1:14" x14ac:dyDescent="0.3">
      <c r="A141" s="1">
        <v>46121</v>
      </c>
      <c r="B141" t="s">
        <v>8</v>
      </c>
      <c r="C141" t="s">
        <v>12</v>
      </c>
      <c r="D141">
        <v>76926</v>
      </c>
      <c r="E141">
        <v>2692</v>
      </c>
      <c r="F141">
        <v>2019</v>
      </c>
      <c r="G141">
        <v>37</v>
      </c>
      <c r="H141">
        <v>4937.28</v>
      </c>
      <c r="I141">
        <f t="shared" si="12"/>
        <v>3.4994670202532303</v>
      </c>
      <c r="J141">
        <f t="shared" si="13"/>
        <v>1.37444279346211</v>
      </c>
      <c r="K141">
        <f t="shared" si="14"/>
        <v>0.75</v>
      </c>
      <c r="L141">
        <f t="shared" si="15"/>
        <v>54.567567567567565</v>
      </c>
      <c r="M141">
        <f t="shared" si="16"/>
        <v>2.4454086181277859</v>
      </c>
      <c r="N141">
        <f t="shared" si="17"/>
        <v>144.54086181277859</v>
      </c>
    </row>
    <row r="142" spans="1:14" x14ac:dyDescent="0.3">
      <c r="A142" s="1">
        <v>46040</v>
      </c>
      <c r="B142" t="s">
        <v>22</v>
      </c>
      <c r="C142" t="s">
        <v>56</v>
      </c>
      <c r="D142">
        <v>42013</v>
      </c>
      <c r="E142">
        <v>1723</v>
      </c>
      <c r="F142">
        <v>1516.24</v>
      </c>
      <c r="G142">
        <v>21</v>
      </c>
      <c r="H142">
        <v>2576.6999999999998</v>
      </c>
      <c r="I142">
        <f t="shared" si="12"/>
        <v>4.1011115607074</v>
      </c>
      <c r="J142">
        <f t="shared" si="13"/>
        <v>1.2188044109112013</v>
      </c>
      <c r="K142">
        <f t="shared" si="14"/>
        <v>0.88</v>
      </c>
      <c r="L142">
        <f t="shared" si="15"/>
        <v>72.201904761904757</v>
      </c>
      <c r="M142">
        <f t="shared" si="16"/>
        <v>1.6994011502136863</v>
      </c>
      <c r="N142">
        <f t="shared" si="17"/>
        <v>69.940115021368626</v>
      </c>
    </row>
    <row r="143" spans="1:14" x14ac:dyDescent="0.3">
      <c r="A143" s="1">
        <v>46039</v>
      </c>
      <c r="B143" t="s">
        <v>22</v>
      </c>
      <c r="C143" t="s">
        <v>57</v>
      </c>
      <c r="D143">
        <v>8461</v>
      </c>
      <c r="E143">
        <v>401</v>
      </c>
      <c r="F143">
        <v>661.65</v>
      </c>
      <c r="G143">
        <v>12</v>
      </c>
      <c r="H143">
        <v>1084.56</v>
      </c>
      <c r="I143">
        <f t="shared" si="12"/>
        <v>4.7393925067958875</v>
      </c>
      <c r="J143">
        <f t="shared" si="13"/>
        <v>2.9925187032418954</v>
      </c>
      <c r="K143">
        <f t="shared" si="14"/>
        <v>1.65</v>
      </c>
      <c r="L143">
        <f t="shared" si="15"/>
        <v>55.137499999999996</v>
      </c>
      <c r="M143">
        <f t="shared" si="16"/>
        <v>1.6391747902969849</v>
      </c>
      <c r="N143">
        <f t="shared" si="17"/>
        <v>63.917479029698477</v>
      </c>
    </row>
    <row r="144" spans="1:14" x14ac:dyDescent="0.3">
      <c r="A144" s="1">
        <v>46115</v>
      </c>
      <c r="B144" t="s">
        <v>22</v>
      </c>
      <c r="C144" t="s">
        <v>12</v>
      </c>
      <c r="D144">
        <v>80851</v>
      </c>
      <c r="E144">
        <v>3000</v>
      </c>
      <c r="F144">
        <v>9450</v>
      </c>
      <c r="G144">
        <v>359</v>
      </c>
      <c r="H144">
        <v>43065.64</v>
      </c>
      <c r="I144">
        <f t="shared" si="12"/>
        <v>3.7105292451546674</v>
      </c>
      <c r="J144">
        <f t="shared" si="13"/>
        <v>11.966666666666667</v>
      </c>
      <c r="K144">
        <f t="shared" si="14"/>
        <v>3.15</v>
      </c>
      <c r="L144">
        <f t="shared" si="15"/>
        <v>26.323119777158773</v>
      </c>
      <c r="M144">
        <f t="shared" si="16"/>
        <v>4.5572105820105824</v>
      </c>
      <c r="N144">
        <f t="shared" si="17"/>
        <v>355.72105820105821</v>
      </c>
    </row>
    <row r="145" spans="1:14" x14ac:dyDescent="0.3">
      <c r="A145" s="1">
        <v>46071</v>
      </c>
      <c r="B145" t="s">
        <v>8</v>
      </c>
      <c r="C145" t="s">
        <v>29</v>
      </c>
      <c r="D145">
        <v>37613</v>
      </c>
      <c r="E145">
        <v>1617</v>
      </c>
      <c r="F145">
        <v>3039.96</v>
      </c>
      <c r="G145">
        <v>136</v>
      </c>
      <c r="H145">
        <v>21640.32</v>
      </c>
      <c r="I145">
        <f t="shared" si="12"/>
        <v>4.2990455427644694</v>
      </c>
      <c r="J145">
        <f t="shared" si="13"/>
        <v>8.4106369820655527</v>
      </c>
      <c r="K145">
        <f t="shared" si="14"/>
        <v>1.8800000000000001</v>
      </c>
      <c r="L145">
        <f t="shared" si="15"/>
        <v>22.352647058823528</v>
      </c>
      <c r="M145">
        <f t="shared" si="16"/>
        <v>7.1186199818418663</v>
      </c>
      <c r="N145">
        <f t="shared" si="17"/>
        <v>611.86199818418663</v>
      </c>
    </row>
    <row r="146" spans="1:14" x14ac:dyDescent="0.3">
      <c r="A146" s="1">
        <v>46059</v>
      </c>
      <c r="B146" t="s">
        <v>26</v>
      </c>
      <c r="C146" t="s">
        <v>14</v>
      </c>
      <c r="D146">
        <v>15409</v>
      </c>
      <c r="E146">
        <v>746</v>
      </c>
      <c r="F146">
        <v>2111.1799999999998</v>
      </c>
      <c r="G146">
        <v>40</v>
      </c>
      <c r="H146">
        <v>5908</v>
      </c>
      <c r="I146">
        <f t="shared" si="12"/>
        <v>4.84132649750146</v>
      </c>
      <c r="J146">
        <f t="shared" si="13"/>
        <v>5.3619302949061662</v>
      </c>
      <c r="K146">
        <f t="shared" si="14"/>
        <v>2.8299999999999996</v>
      </c>
      <c r="L146">
        <f t="shared" si="15"/>
        <v>52.779499999999999</v>
      </c>
      <c r="M146">
        <f t="shared" si="16"/>
        <v>2.7984349984368935</v>
      </c>
      <c r="N146">
        <f t="shared" si="17"/>
        <v>179.84349984368933</v>
      </c>
    </row>
    <row r="147" spans="1:14" x14ac:dyDescent="0.3">
      <c r="A147" s="1">
        <v>46136</v>
      </c>
      <c r="B147" t="s">
        <v>18</v>
      </c>
      <c r="C147" t="s">
        <v>9</v>
      </c>
      <c r="D147">
        <v>54523</v>
      </c>
      <c r="E147">
        <v>578</v>
      </c>
      <c r="F147">
        <v>427.72</v>
      </c>
      <c r="G147">
        <v>68</v>
      </c>
      <c r="H147">
        <v>1987.64</v>
      </c>
      <c r="I147">
        <f t="shared" si="12"/>
        <v>1.0601030757661905</v>
      </c>
      <c r="J147">
        <f t="shared" si="13"/>
        <v>11.76470588235294</v>
      </c>
      <c r="K147">
        <f t="shared" si="14"/>
        <v>0.7400000000000001</v>
      </c>
      <c r="L147">
        <f t="shared" si="15"/>
        <v>6.29</v>
      </c>
      <c r="M147">
        <f t="shared" si="16"/>
        <v>4.6470588235294121</v>
      </c>
      <c r="N147">
        <f t="shared" si="17"/>
        <v>364.70588235294116</v>
      </c>
    </row>
    <row r="148" spans="1:14" x14ac:dyDescent="0.3">
      <c r="A148" s="1">
        <v>46079</v>
      </c>
      <c r="B148" t="s">
        <v>22</v>
      </c>
      <c r="C148" t="s">
        <v>58</v>
      </c>
      <c r="D148">
        <v>66769</v>
      </c>
      <c r="E148">
        <v>1990</v>
      </c>
      <c r="F148">
        <v>5452.6</v>
      </c>
      <c r="G148">
        <v>82</v>
      </c>
      <c r="H148">
        <v>10027.780000000001</v>
      </c>
      <c r="I148">
        <f t="shared" si="12"/>
        <v>2.9804250475520075</v>
      </c>
      <c r="J148">
        <f t="shared" si="13"/>
        <v>4.1206030150753765</v>
      </c>
      <c r="K148">
        <f t="shared" si="14"/>
        <v>2.74</v>
      </c>
      <c r="L148">
        <f t="shared" si="15"/>
        <v>66.495121951219517</v>
      </c>
      <c r="M148">
        <f t="shared" si="16"/>
        <v>1.8390822726772549</v>
      </c>
      <c r="N148">
        <f t="shared" si="17"/>
        <v>83.908227267725493</v>
      </c>
    </row>
    <row r="149" spans="1:14" x14ac:dyDescent="0.3">
      <c r="A149" s="1">
        <v>46048</v>
      </c>
      <c r="B149" t="s">
        <v>22</v>
      </c>
      <c r="C149" t="s">
        <v>9</v>
      </c>
      <c r="D149">
        <v>32553</v>
      </c>
      <c r="E149">
        <v>579</v>
      </c>
      <c r="F149">
        <v>121.59</v>
      </c>
      <c r="G149">
        <v>40</v>
      </c>
      <c r="H149">
        <v>8515.2000000000007</v>
      </c>
      <c r="I149">
        <f t="shared" si="12"/>
        <v>1.7786379135563541</v>
      </c>
      <c r="J149">
        <f t="shared" si="13"/>
        <v>6.9084628670120898</v>
      </c>
      <c r="K149">
        <f t="shared" si="14"/>
        <v>0.21</v>
      </c>
      <c r="L149">
        <f t="shared" si="15"/>
        <v>3.0397500000000002</v>
      </c>
      <c r="M149">
        <f t="shared" si="16"/>
        <v>70.03207500616827</v>
      </c>
      <c r="N149">
        <f t="shared" si="17"/>
        <v>6903.207500616827</v>
      </c>
    </row>
    <row r="150" spans="1:14" x14ac:dyDescent="0.3">
      <c r="A150" s="1">
        <v>46024</v>
      </c>
      <c r="B150" t="s">
        <v>18</v>
      </c>
      <c r="C150" t="s">
        <v>53</v>
      </c>
      <c r="D150">
        <v>49892</v>
      </c>
      <c r="E150">
        <v>409</v>
      </c>
      <c r="F150">
        <v>392.64</v>
      </c>
      <c r="G150">
        <v>17</v>
      </c>
      <c r="H150">
        <v>890.8</v>
      </c>
      <c r="I150">
        <f t="shared" si="12"/>
        <v>0.81977070472219993</v>
      </c>
      <c r="J150">
        <f t="shared" si="13"/>
        <v>4.1564792176039118</v>
      </c>
      <c r="K150">
        <f t="shared" si="14"/>
        <v>0.96</v>
      </c>
      <c r="L150">
        <f t="shared" si="15"/>
        <v>23.096470588235292</v>
      </c>
      <c r="M150">
        <f t="shared" si="16"/>
        <v>2.2687449062754688</v>
      </c>
      <c r="N150">
        <f t="shared" si="17"/>
        <v>126.87449062754685</v>
      </c>
    </row>
    <row r="151" spans="1:14" x14ac:dyDescent="0.3">
      <c r="A151" s="1">
        <v>46053</v>
      </c>
      <c r="B151" t="s">
        <v>8</v>
      </c>
      <c r="C151" t="s">
        <v>9</v>
      </c>
      <c r="D151">
        <v>86241</v>
      </c>
      <c r="E151">
        <v>1777</v>
      </c>
      <c r="F151">
        <v>2452.2600000000002</v>
      </c>
      <c r="G151">
        <v>134</v>
      </c>
      <c r="H151">
        <v>9987.02</v>
      </c>
      <c r="I151">
        <f t="shared" si="12"/>
        <v>2.0605048642756927</v>
      </c>
      <c r="J151">
        <f t="shared" si="13"/>
        <v>7.540799099606077</v>
      </c>
      <c r="K151">
        <f t="shared" si="14"/>
        <v>1.3800000000000001</v>
      </c>
      <c r="L151">
        <f t="shared" si="15"/>
        <v>18.300447761194032</v>
      </c>
      <c r="M151">
        <f t="shared" si="16"/>
        <v>4.0725779485046445</v>
      </c>
      <c r="N151">
        <f t="shared" si="17"/>
        <v>307.25779485046445</v>
      </c>
    </row>
    <row r="152" spans="1:14" x14ac:dyDescent="0.3">
      <c r="A152" s="1">
        <v>46116</v>
      </c>
      <c r="B152" t="s">
        <v>15</v>
      </c>
      <c r="C152" t="s">
        <v>17</v>
      </c>
      <c r="D152">
        <v>20898</v>
      </c>
      <c r="E152">
        <v>1047</v>
      </c>
      <c r="F152">
        <v>3109.59</v>
      </c>
      <c r="G152">
        <v>111</v>
      </c>
      <c r="H152">
        <v>9052.0499999999993</v>
      </c>
      <c r="I152">
        <f t="shared" si="12"/>
        <v>5.0100488084984205</v>
      </c>
      <c r="J152">
        <f t="shared" si="13"/>
        <v>10.601719197707736</v>
      </c>
      <c r="K152">
        <f t="shared" si="14"/>
        <v>2.97</v>
      </c>
      <c r="L152">
        <f t="shared" si="15"/>
        <v>28.014324324324324</v>
      </c>
      <c r="M152">
        <f t="shared" si="16"/>
        <v>2.911010776340289</v>
      </c>
      <c r="N152">
        <f t="shared" si="17"/>
        <v>191.10107763402888</v>
      </c>
    </row>
    <row r="153" spans="1:14" x14ac:dyDescent="0.3">
      <c r="A153" s="1">
        <v>46088</v>
      </c>
      <c r="B153" t="s">
        <v>18</v>
      </c>
      <c r="C153" t="s">
        <v>38</v>
      </c>
      <c r="D153">
        <v>8886</v>
      </c>
      <c r="E153">
        <v>359</v>
      </c>
      <c r="F153">
        <v>96.93</v>
      </c>
      <c r="G153">
        <v>14</v>
      </c>
      <c r="H153">
        <v>435.4</v>
      </c>
      <c r="I153">
        <f t="shared" si="12"/>
        <v>4.0400630204816563</v>
      </c>
      <c r="J153">
        <f t="shared" si="13"/>
        <v>3.8997214484679668</v>
      </c>
      <c r="K153">
        <f t="shared" si="14"/>
        <v>0.27</v>
      </c>
      <c r="L153">
        <f t="shared" si="15"/>
        <v>6.9235714285714289</v>
      </c>
      <c r="M153">
        <f t="shared" si="16"/>
        <v>4.4919013721242127</v>
      </c>
      <c r="N153">
        <f t="shared" si="17"/>
        <v>349.19013721242129</v>
      </c>
    </row>
    <row r="154" spans="1:14" x14ac:dyDescent="0.3">
      <c r="A154" s="1">
        <v>46092</v>
      </c>
      <c r="B154" t="s">
        <v>26</v>
      </c>
      <c r="C154" t="s">
        <v>44</v>
      </c>
      <c r="D154">
        <v>42096</v>
      </c>
      <c r="E154">
        <v>1722</v>
      </c>
      <c r="F154">
        <v>5355.42</v>
      </c>
      <c r="G154">
        <v>145</v>
      </c>
      <c r="H154">
        <v>4321</v>
      </c>
      <c r="I154">
        <f t="shared" si="12"/>
        <v>4.090649942987457</v>
      </c>
      <c r="J154">
        <f t="shared" si="13"/>
        <v>8.4204413472706161</v>
      </c>
      <c r="K154">
        <f t="shared" si="14"/>
        <v>3.11</v>
      </c>
      <c r="L154">
        <f t="shared" si="15"/>
        <v>36.933931034482761</v>
      </c>
      <c r="M154">
        <f t="shared" si="16"/>
        <v>0.80684614838798818</v>
      </c>
      <c r="N154">
        <f t="shared" si="17"/>
        <v>-19.315385161201178</v>
      </c>
    </row>
    <row r="155" spans="1:14" x14ac:dyDescent="0.3">
      <c r="A155" s="1">
        <v>46136</v>
      </c>
      <c r="B155" t="s">
        <v>11</v>
      </c>
      <c r="C155" t="s">
        <v>17</v>
      </c>
      <c r="D155">
        <v>24538</v>
      </c>
      <c r="E155">
        <v>1092</v>
      </c>
      <c r="F155">
        <v>3767.4</v>
      </c>
      <c r="G155">
        <v>118</v>
      </c>
      <c r="H155">
        <v>12942.24</v>
      </c>
      <c r="I155">
        <f t="shared" si="12"/>
        <v>4.4502404433939198</v>
      </c>
      <c r="J155">
        <f t="shared" si="13"/>
        <v>10.805860805860807</v>
      </c>
      <c r="K155">
        <f t="shared" si="14"/>
        <v>3.45</v>
      </c>
      <c r="L155">
        <f t="shared" si="15"/>
        <v>31.927118644067797</v>
      </c>
      <c r="M155">
        <f t="shared" si="16"/>
        <v>3.4353240961936611</v>
      </c>
      <c r="N155">
        <f t="shared" si="17"/>
        <v>243.53240961936615</v>
      </c>
    </row>
    <row r="156" spans="1:14" x14ac:dyDescent="0.3">
      <c r="A156" s="1">
        <v>46104</v>
      </c>
      <c r="B156" t="s">
        <v>20</v>
      </c>
      <c r="C156" t="s">
        <v>16</v>
      </c>
      <c r="D156">
        <v>49394</v>
      </c>
      <c r="E156">
        <v>1773</v>
      </c>
      <c r="F156">
        <v>1737.54</v>
      </c>
      <c r="G156">
        <v>137</v>
      </c>
      <c r="H156">
        <v>9131.0499999999993</v>
      </c>
      <c r="I156">
        <f t="shared" si="12"/>
        <v>3.5895047981536221</v>
      </c>
      <c r="J156">
        <f t="shared" si="13"/>
        <v>7.7270163564579804</v>
      </c>
      <c r="K156">
        <f t="shared" si="14"/>
        <v>0.98</v>
      </c>
      <c r="L156">
        <f t="shared" si="15"/>
        <v>12.682773722627736</v>
      </c>
      <c r="M156">
        <f t="shared" si="16"/>
        <v>5.2551595934482078</v>
      </c>
      <c r="N156">
        <f t="shared" si="17"/>
        <v>425.51595934482077</v>
      </c>
    </row>
    <row r="157" spans="1:14" x14ac:dyDescent="0.3">
      <c r="A157" s="1">
        <v>46122</v>
      </c>
      <c r="B157" t="s">
        <v>8</v>
      </c>
      <c r="C157" t="s">
        <v>44</v>
      </c>
      <c r="D157">
        <v>48158</v>
      </c>
      <c r="E157">
        <v>1922</v>
      </c>
      <c r="F157">
        <v>4612.8</v>
      </c>
      <c r="G157">
        <v>217</v>
      </c>
      <c r="H157">
        <v>5340.37</v>
      </c>
      <c r="I157">
        <f t="shared" si="12"/>
        <v>3.9910295278043106</v>
      </c>
      <c r="J157">
        <f t="shared" si="13"/>
        <v>11.29032258064516</v>
      </c>
      <c r="K157">
        <f t="shared" si="14"/>
        <v>2.4</v>
      </c>
      <c r="L157">
        <f t="shared" si="15"/>
        <v>21.257142857142856</v>
      </c>
      <c r="M157">
        <f t="shared" si="16"/>
        <v>1.1577284946236559</v>
      </c>
      <c r="N157">
        <f t="shared" si="17"/>
        <v>15.772849462365585</v>
      </c>
    </row>
    <row r="158" spans="1:14" x14ac:dyDescent="0.3">
      <c r="A158" s="1">
        <v>46139</v>
      </c>
      <c r="B158" t="s">
        <v>20</v>
      </c>
      <c r="C158" t="s">
        <v>50</v>
      </c>
      <c r="D158">
        <v>7060</v>
      </c>
      <c r="E158">
        <v>43</v>
      </c>
      <c r="F158">
        <v>110.08</v>
      </c>
      <c r="G158">
        <v>1</v>
      </c>
      <c r="H158">
        <v>194.2</v>
      </c>
      <c r="I158">
        <f t="shared" si="12"/>
        <v>0.60906515580736542</v>
      </c>
      <c r="J158">
        <f t="shared" si="13"/>
        <v>2.3255813953488373</v>
      </c>
      <c r="K158">
        <f t="shared" si="14"/>
        <v>2.56</v>
      </c>
      <c r="L158">
        <f t="shared" si="15"/>
        <v>110.08</v>
      </c>
      <c r="M158">
        <f t="shared" si="16"/>
        <v>1.7641715116279069</v>
      </c>
      <c r="N158">
        <f t="shared" si="17"/>
        <v>76.417151162790688</v>
      </c>
    </row>
    <row r="159" spans="1:14" x14ac:dyDescent="0.3">
      <c r="A159" s="1">
        <v>46079</v>
      </c>
      <c r="B159" t="s">
        <v>22</v>
      </c>
      <c r="C159" t="s">
        <v>17</v>
      </c>
      <c r="D159">
        <v>10867</v>
      </c>
      <c r="E159">
        <v>290</v>
      </c>
      <c r="F159">
        <v>977.3</v>
      </c>
      <c r="G159">
        <v>33</v>
      </c>
      <c r="H159">
        <v>858</v>
      </c>
      <c r="I159">
        <f t="shared" si="12"/>
        <v>2.6686297966320054</v>
      </c>
      <c r="J159">
        <f t="shared" si="13"/>
        <v>11.379310344827587</v>
      </c>
      <c r="K159">
        <f t="shared" si="14"/>
        <v>3.3699999999999997</v>
      </c>
      <c r="L159">
        <f t="shared" si="15"/>
        <v>29.615151515151513</v>
      </c>
      <c r="M159">
        <f t="shared" si="16"/>
        <v>0.87792898802824115</v>
      </c>
      <c r="N159">
        <f t="shared" si="17"/>
        <v>-12.20710119717589</v>
      </c>
    </row>
    <row r="160" spans="1:14" x14ac:dyDescent="0.3">
      <c r="A160" s="1">
        <v>46049</v>
      </c>
      <c r="B160" t="s">
        <v>11</v>
      </c>
      <c r="C160" t="s">
        <v>52</v>
      </c>
      <c r="D160">
        <v>22572</v>
      </c>
      <c r="E160">
        <v>476</v>
      </c>
      <c r="F160">
        <v>585.48</v>
      </c>
      <c r="G160">
        <v>9</v>
      </c>
      <c r="H160">
        <v>941.49</v>
      </c>
      <c r="I160">
        <f t="shared" si="12"/>
        <v>2.1088073719652667</v>
      </c>
      <c r="J160">
        <f t="shared" si="13"/>
        <v>1.8907563025210083</v>
      </c>
      <c r="K160">
        <f t="shared" si="14"/>
        <v>1.23</v>
      </c>
      <c r="L160">
        <f t="shared" si="15"/>
        <v>65.053333333333342</v>
      </c>
      <c r="M160">
        <f t="shared" si="16"/>
        <v>1.6080651772904284</v>
      </c>
      <c r="N160">
        <f t="shared" si="17"/>
        <v>60.806517729042831</v>
      </c>
    </row>
    <row r="161" spans="1:14" x14ac:dyDescent="0.3">
      <c r="A161" s="1">
        <v>46097</v>
      </c>
      <c r="B161" t="s">
        <v>8</v>
      </c>
      <c r="C161" t="s">
        <v>16</v>
      </c>
      <c r="D161">
        <v>33690</v>
      </c>
      <c r="E161">
        <v>1974</v>
      </c>
      <c r="F161">
        <v>6198.36</v>
      </c>
      <c r="G161">
        <v>62</v>
      </c>
      <c r="H161">
        <v>10701.2</v>
      </c>
      <c r="I161">
        <f t="shared" si="12"/>
        <v>5.8593054318788962</v>
      </c>
      <c r="J161">
        <f t="shared" si="13"/>
        <v>3.1408308004052685</v>
      </c>
      <c r="K161">
        <f t="shared" si="14"/>
        <v>3.1399999999999997</v>
      </c>
      <c r="L161">
        <f t="shared" si="15"/>
        <v>99.97354838709677</v>
      </c>
      <c r="M161">
        <f t="shared" si="16"/>
        <v>1.7264566756367816</v>
      </c>
      <c r="N161">
        <f t="shared" si="17"/>
        <v>72.645667563678145</v>
      </c>
    </row>
    <row r="162" spans="1:14" x14ac:dyDescent="0.3">
      <c r="A162" s="1">
        <v>46090</v>
      </c>
      <c r="B162" t="s">
        <v>20</v>
      </c>
      <c r="C162" t="s">
        <v>43</v>
      </c>
      <c r="D162">
        <v>51935</v>
      </c>
      <c r="E162">
        <v>2581</v>
      </c>
      <c r="F162">
        <v>4129.6000000000004</v>
      </c>
      <c r="G162">
        <v>75</v>
      </c>
      <c r="H162">
        <v>4241.25</v>
      </c>
      <c r="I162">
        <f t="shared" si="12"/>
        <v>4.9696736304996634</v>
      </c>
      <c r="J162">
        <f t="shared" si="13"/>
        <v>2.9058504455637348</v>
      </c>
      <c r="K162">
        <f t="shared" si="14"/>
        <v>1.6</v>
      </c>
      <c r="L162">
        <f t="shared" si="15"/>
        <v>55.061333333333337</v>
      </c>
      <c r="M162">
        <f t="shared" si="16"/>
        <v>1.0270365168539326</v>
      </c>
      <c r="N162">
        <f t="shared" si="17"/>
        <v>2.7036516853932495</v>
      </c>
    </row>
    <row r="163" spans="1:14" x14ac:dyDescent="0.3">
      <c r="A163" s="1">
        <v>46026</v>
      </c>
      <c r="B163" t="s">
        <v>8</v>
      </c>
      <c r="C163" t="s">
        <v>57</v>
      </c>
      <c r="D163">
        <v>60876</v>
      </c>
      <c r="E163">
        <v>1181</v>
      </c>
      <c r="F163">
        <v>696.79</v>
      </c>
      <c r="G163">
        <v>50</v>
      </c>
      <c r="H163">
        <v>9398</v>
      </c>
      <c r="I163">
        <f t="shared" si="12"/>
        <v>1.9400091990275314</v>
      </c>
      <c r="J163">
        <f t="shared" si="13"/>
        <v>4.2337002540220148</v>
      </c>
      <c r="K163">
        <f t="shared" si="14"/>
        <v>0.59</v>
      </c>
      <c r="L163">
        <f t="shared" si="15"/>
        <v>13.935799999999999</v>
      </c>
      <c r="M163">
        <f t="shared" si="16"/>
        <v>13.487564402474204</v>
      </c>
      <c r="N163">
        <f t="shared" si="17"/>
        <v>1248.7564402474202</v>
      </c>
    </row>
    <row r="164" spans="1:14" x14ac:dyDescent="0.3">
      <c r="A164" s="1">
        <v>46135</v>
      </c>
      <c r="B164" t="s">
        <v>26</v>
      </c>
      <c r="C164" t="s">
        <v>53</v>
      </c>
      <c r="D164">
        <v>86542</v>
      </c>
      <c r="E164">
        <v>4933</v>
      </c>
      <c r="F164">
        <v>3699.75</v>
      </c>
      <c r="G164">
        <v>259</v>
      </c>
      <c r="H164">
        <v>47518.73</v>
      </c>
      <c r="I164">
        <f t="shared" si="12"/>
        <v>5.7001224838806586</v>
      </c>
      <c r="J164">
        <f t="shared" si="13"/>
        <v>5.2503547536995745</v>
      </c>
      <c r="K164">
        <f t="shared" si="14"/>
        <v>0.75</v>
      </c>
      <c r="L164">
        <f t="shared" si="15"/>
        <v>14.284749034749035</v>
      </c>
      <c r="M164">
        <f t="shared" si="16"/>
        <v>12.843767822150147</v>
      </c>
      <c r="N164">
        <f t="shared" si="17"/>
        <v>1184.3767822150146</v>
      </c>
    </row>
    <row r="165" spans="1:14" x14ac:dyDescent="0.3">
      <c r="A165" s="1">
        <v>46039</v>
      </c>
      <c r="B165" t="s">
        <v>18</v>
      </c>
      <c r="C165" t="s">
        <v>17</v>
      </c>
      <c r="D165">
        <v>34052</v>
      </c>
      <c r="E165">
        <v>2002</v>
      </c>
      <c r="F165">
        <v>6806.8</v>
      </c>
      <c r="G165">
        <v>29</v>
      </c>
      <c r="H165">
        <v>3322.82</v>
      </c>
      <c r="I165">
        <f t="shared" si="12"/>
        <v>5.8792435099259954</v>
      </c>
      <c r="J165">
        <f t="shared" si="13"/>
        <v>1.4485514485514486</v>
      </c>
      <c r="K165">
        <f t="shared" si="14"/>
        <v>3.4</v>
      </c>
      <c r="L165">
        <f t="shared" si="15"/>
        <v>234.71724137931034</v>
      </c>
      <c r="M165">
        <f t="shared" si="16"/>
        <v>0.48816183816183817</v>
      </c>
      <c r="N165">
        <f t="shared" si="17"/>
        <v>-51.183816183816177</v>
      </c>
    </row>
    <row r="166" spans="1:14" x14ac:dyDescent="0.3">
      <c r="A166" s="1">
        <v>46113</v>
      </c>
      <c r="B166" t="s">
        <v>8</v>
      </c>
      <c r="C166" t="s">
        <v>59</v>
      </c>
      <c r="D166">
        <v>66958</v>
      </c>
      <c r="E166">
        <v>1091</v>
      </c>
      <c r="F166">
        <v>1243.74</v>
      </c>
      <c r="G166">
        <v>17</v>
      </c>
      <c r="H166">
        <v>713.15</v>
      </c>
      <c r="I166">
        <f t="shared" si="12"/>
        <v>1.6293796110994951</v>
      </c>
      <c r="J166">
        <f t="shared" si="13"/>
        <v>1.5582034830430798</v>
      </c>
      <c r="K166">
        <f t="shared" si="14"/>
        <v>1.1399999999999999</v>
      </c>
      <c r="L166">
        <f t="shared" si="15"/>
        <v>73.161176470588231</v>
      </c>
      <c r="M166">
        <f t="shared" si="16"/>
        <v>0.57339154485664201</v>
      </c>
      <c r="N166">
        <f t="shared" si="17"/>
        <v>-42.66084551433579</v>
      </c>
    </row>
    <row r="167" spans="1:14" x14ac:dyDescent="0.3">
      <c r="A167" s="1">
        <v>46141</v>
      </c>
      <c r="B167" t="s">
        <v>8</v>
      </c>
      <c r="C167" t="s">
        <v>43</v>
      </c>
      <c r="D167">
        <v>85198</v>
      </c>
      <c r="E167">
        <v>596</v>
      </c>
      <c r="F167">
        <v>923.8</v>
      </c>
      <c r="G167">
        <v>23</v>
      </c>
      <c r="H167">
        <v>4567.57</v>
      </c>
      <c r="I167">
        <f t="shared" si="12"/>
        <v>0.69954693772154275</v>
      </c>
      <c r="J167">
        <f t="shared" si="13"/>
        <v>3.8590604026845639</v>
      </c>
      <c r="K167">
        <f t="shared" si="14"/>
        <v>1.5499999999999998</v>
      </c>
      <c r="L167">
        <f t="shared" si="15"/>
        <v>40.165217391304346</v>
      </c>
      <c r="M167">
        <f t="shared" si="16"/>
        <v>4.9443277765750162</v>
      </c>
      <c r="N167">
        <f t="shared" si="17"/>
        <v>394.43277765750156</v>
      </c>
    </row>
    <row r="168" spans="1:14" x14ac:dyDescent="0.3">
      <c r="A168" s="1">
        <v>46131</v>
      </c>
      <c r="B168" t="s">
        <v>11</v>
      </c>
      <c r="C168" t="s">
        <v>31</v>
      </c>
      <c r="D168">
        <v>18505</v>
      </c>
      <c r="E168">
        <v>736</v>
      </c>
      <c r="F168">
        <v>1891.52</v>
      </c>
      <c r="G168">
        <v>40</v>
      </c>
      <c r="H168">
        <v>7779.6</v>
      </c>
      <c r="I168">
        <f t="shared" si="12"/>
        <v>3.9773034315049984</v>
      </c>
      <c r="J168">
        <f t="shared" si="13"/>
        <v>5.4347826086956523</v>
      </c>
      <c r="K168">
        <f t="shared" si="14"/>
        <v>2.57</v>
      </c>
      <c r="L168">
        <f t="shared" si="15"/>
        <v>47.287999999999997</v>
      </c>
      <c r="M168">
        <f t="shared" si="16"/>
        <v>4.1128827609541538</v>
      </c>
      <c r="N168">
        <f t="shared" si="17"/>
        <v>311.28827609541531</v>
      </c>
    </row>
    <row r="169" spans="1:14" x14ac:dyDescent="0.3">
      <c r="A169" s="1">
        <v>46139</v>
      </c>
      <c r="B169" t="s">
        <v>26</v>
      </c>
      <c r="C169" t="s">
        <v>14</v>
      </c>
      <c r="D169">
        <v>49203</v>
      </c>
      <c r="E169">
        <v>1023</v>
      </c>
      <c r="F169">
        <v>2148.3000000000002</v>
      </c>
      <c r="G169">
        <v>66</v>
      </c>
      <c r="H169">
        <v>2701.38</v>
      </c>
      <c r="I169">
        <f t="shared" si="12"/>
        <v>2.0791415157612341</v>
      </c>
      <c r="J169">
        <f t="shared" si="13"/>
        <v>6.4516129032258061</v>
      </c>
      <c r="K169">
        <f t="shared" si="14"/>
        <v>2.1</v>
      </c>
      <c r="L169">
        <f t="shared" si="15"/>
        <v>32.550000000000004</v>
      </c>
      <c r="M169">
        <f t="shared" si="16"/>
        <v>1.2574500768049155</v>
      </c>
      <c r="N169">
        <f t="shared" si="17"/>
        <v>25.745007680491543</v>
      </c>
    </row>
    <row r="170" spans="1:14" x14ac:dyDescent="0.3">
      <c r="A170" s="1">
        <v>46075</v>
      </c>
      <c r="B170" t="s">
        <v>15</v>
      </c>
      <c r="C170" t="s">
        <v>47</v>
      </c>
      <c r="D170">
        <v>1350</v>
      </c>
      <c r="E170">
        <v>49</v>
      </c>
      <c r="F170">
        <v>51.94</v>
      </c>
      <c r="G170">
        <v>4</v>
      </c>
      <c r="H170">
        <v>438.68</v>
      </c>
      <c r="I170">
        <f t="shared" si="12"/>
        <v>3.6296296296296298</v>
      </c>
      <c r="J170">
        <f t="shared" si="13"/>
        <v>8.1632653061224492</v>
      </c>
      <c r="K170">
        <f t="shared" si="14"/>
        <v>1.06</v>
      </c>
      <c r="L170">
        <f t="shared" si="15"/>
        <v>12.984999999999999</v>
      </c>
      <c r="M170">
        <f t="shared" si="16"/>
        <v>8.4458991143627262</v>
      </c>
      <c r="N170">
        <f t="shared" si="17"/>
        <v>744.5899114362727</v>
      </c>
    </row>
    <row r="171" spans="1:14" x14ac:dyDescent="0.3">
      <c r="A171" s="1">
        <v>46053</v>
      </c>
      <c r="B171" t="s">
        <v>22</v>
      </c>
      <c r="C171" t="s">
        <v>42</v>
      </c>
      <c r="D171">
        <v>43838</v>
      </c>
      <c r="E171">
        <v>2078</v>
      </c>
      <c r="F171">
        <v>6524.92</v>
      </c>
      <c r="G171">
        <v>142</v>
      </c>
      <c r="H171">
        <v>20599.939999999999</v>
      </c>
      <c r="I171">
        <f t="shared" si="12"/>
        <v>4.7401797527259451</v>
      </c>
      <c r="J171">
        <f t="shared" si="13"/>
        <v>6.8334937439846009</v>
      </c>
      <c r="K171">
        <f t="shared" si="14"/>
        <v>3.14</v>
      </c>
      <c r="L171">
        <f t="shared" si="15"/>
        <v>45.950140845070422</v>
      </c>
      <c r="M171">
        <f t="shared" si="16"/>
        <v>3.1571176351587451</v>
      </c>
      <c r="N171">
        <f t="shared" si="17"/>
        <v>215.71176351587451</v>
      </c>
    </row>
    <row r="172" spans="1:14" x14ac:dyDescent="0.3">
      <c r="A172" s="1">
        <v>46121</v>
      </c>
      <c r="B172" t="s">
        <v>18</v>
      </c>
      <c r="C172" t="s">
        <v>36</v>
      </c>
      <c r="D172">
        <v>27880</v>
      </c>
      <c r="E172">
        <v>1210</v>
      </c>
      <c r="F172">
        <v>2456.3000000000002</v>
      </c>
      <c r="G172">
        <v>31</v>
      </c>
      <c r="H172">
        <v>5914.49</v>
      </c>
      <c r="I172">
        <f t="shared" si="12"/>
        <v>4.3400286944045918</v>
      </c>
      <c r="J172">
        <f t="shared" si="13"/>
        <v>2.5619834710743801</v>
      </c>
      <c r="K172">
        <f t="shared" si="14"/>
        <v>2.0300000000000002</v>
      </c>
      <c r="L172">
        <f t="shared" si="15"/>
        <v>79.235483870967741</v>
      </c>
      <c r="M172">
        <f t="shared" si="16"/>
        <v>2.4078858445629603</v>
      </c>
      <c r="N172">
        <f t="shared" si="17"/>
        <v>140.78858445629604</v>
      </c>
    </row>
    <row r="173" spans="1:14" x14ac:dyDescent="0.3">
      <c r="A173" s="1">
        <v>46063</v>
      </c>
      <c r="B173" t="s">
        <v>20</v>
      </c>
      <c r="C173" t="s">
        <v>10</v>
      </c>
      <c r="D173">
        <v>24335</v>
      </c>
      <c r="E173">
        <v>594</v>
      </c>
      <c r="F173">
        <v>1847.34</v>
      </c>
      <c r="G173">
        <v>35</v>
      </c>
      <c r="H173">
        <v>1715.35</v>
      </c>
      <c r="I173">
        <f t="shared" si="12"/>
        <v>2.4409287035134581</v>
      </c>
      <c r="J173">
        <f t="shared" si="13"/>
        <v>5.8922558922558927</v>
      </c>
      <c r="K173">
        <f t="shared" si="14"/>
        <v>3.11</v>
      </c>
      <c r="L173">
        <f t="shared" si="15"/>
        <v>52.781142857142854</v>
      </c>
      <c r="M173">
        <f t="shared" si="16"/>
        <v>0.92855132244199767</v>
      </c>
      <c r="N173">
        <f t="shared" si="17"/>
        <v>-7.1448677558002327</v>
      </c>
    </row>
    <row r="174" spans="1:14" x14ac:dyDescent="0.3">
      <c r="A174" s="1">
        <v>46051</v>
      </c>
      <c r="B174" t="s">
        <v>26</v>
      </c>
      <c r="C174" t="s">
        <v>39</v>
      </c>
      <c r="D174">
        <v>83283</v>
      </c>
      <c r="E174">
        <v>1058</v>
      </c>
      <c r="F174">
        <v>3406.76</v>
      </c>
      <c r="G174">
        <v>50</v>
      </c>
      <c r="H174">
        <v>1850.5</v>
      </c>
      <c r="I174">
        <f t="shared" si="12"/>
        <v>1.2703673018503174</v>
      </c>
      <c r="J174">
        <f t="shared" si="13"/>
        <v>4.7258979206049148</v>
      </c>
      <c r="K174">
        <f t="shared" si="14"/>
        <v>3.22</v>
      </c>
      <c r="L174">
        <f t="shared" si="15"/>
        <v>68.135199999999998</v>
      </c>
      <c r="M174">
        <f t="shared" si="16"/>
        <v>0.54318472683722951</v>
      </c>
      <c r="N174">
        <f t="shared" si="17"/>
        <v>-45.681527316277055</v>
      </c>
    </row>
    <row r="175" spans="1:14" x14ac:dyDescent="0.3">
      <c r="A175" s="1">
        <v>46074</v>
      </c>
      <c r="B175" t="s">
        <v>8</v>
      </c>
      <c r="C175" t="s">
        <v>16</v>
      </c>
      <c r="D175">
        <v>38271</v>
      </c>
      <c r="E175">
        <v>1121</v>
      </c>
      <c r="F175">
        <v>1961.75</v>
      </c>
      <c r="G175">
        <v>44</v>
      </c>
      <c r="H175">
        <v>7189.16</v>
      </c>
      <c r="I175">
        <f t="shared" si="12"/>
        <v>2.9291108149773981</v>
      </c>
      <c r="J175">
        <f t="shared" si="13"/>
        <v>3.9250669045495097</v>
      </c>
      <c r="K175">
        <f t="shared" si="14"/>
        <v>1.75</v>
      </c>
      <c r="L175">
        <f t="shared" si="15"/>
        <v>44.585227272727273</v>
      </c>
      <c r="M175">
        <f t="shared" si="16"/>
        <v>3.6646667516248246</v>
      </c>
      <c r="N175">
        <f t="shared" si="17"/>
        <v>266.46667516248243</v>
      </c>
    </row>
    <row r="176" spans="1:14" x14ac:dyDescent="0.3">
      <c r="A176" s="1">
        <v>46080</v>
      </c>
      <c r="B176" t="s">
        <v>20</v>
      </c>
      <c r="C176" t="s">
        <v>55</v>
      </c>
      <c r="D176">
        <v>42453</v>
      </c>
      <c r="E176">
        <v>1053</v>
      </c>
      <c r="F176">
        <v>3674.97</v>
      </c>
      <c r="G176">
        <v>113</v>
      </c>
      <c r="H176">
        <v>9627.6</v>
      </c>
      <c r="I176">
        <f t="shared" si="12"/>
        <v>2.4803900784396862</v>
      </c>
      <c r="J176">
        <f t="shared" si="13"/>
        <v>10.731244064577398</v>
      </c>
      <c r="K176">
        <f t="shared" si="14"/>
        <v>3.4899999999999998</v>
      </c>
      <c r="L176">
        <f t="shared" si="15"/>
        <v>32.521858407079641</v>
      </c>
      <c r="M176">
        <f t="shared" si="16"/>
        <v>2.6197764879713308</v>
      </c>
      <c r="N176">
        <f t="shared" si="17"/>
        <v>161.97764879713307</v>
      </c>
    </row>
    <row r="177" spans="1:14" x14ac:dyDescent="0.3">
      <c r="A177" s="1">
        <v>46031</v>
      </c>
      <c r="B177" t="s">
        <v>18</v>
      </c>
      <c r="C177" t="s">
        <v>53</v>
      </c>
      <c r="D177">
        <v>89409</v>
      </c>
      <c r="E177">
        <v>1949</v>
      </c>
      <c r="F177">
        <v>4014.94</v>
      </c>
      <c r="G177">
        <v>100</v>
      </c>
      <c r="H177">
        <v>23731</v>
      </c>
      <c r="I177">
        <f t="shared" si="12"/>
        <v>2.179870035455044</v>
      </c>
      <c r="J177">
        <f t="shared" si="13"/>
        <v>5.1308363263211909</v>
      </c>
      <c r="K177">
        <f t="shared" si="14"/>
        <v>2.06</v>
      </c>
      <c r="L177">
        <f t="shared" si="15"/>
        <v>40.1494</v>
      </c>
      <c r="M177">
        <f t="shared" si="16"/>
        <v>5.9106736339770958</v>
      </c>
      <c r="N177">
        <f t="shared" si="17"/>
        <v>491.06736339770958</v>
      </c>
    </row>
    <row r="178" spans="1:14" x14ac:dyDescent="0.3">
      <c r="A178" s="1">
        <v>46049</v>
      </c>
      <c r="B178" t="s">
        <v>22</v>
      </c>
      <c r="C178" t="s">
        <v>55</v>
      </c>
      <c r="D178">
        <v>17661</v>
      </c>
      <c r="E178">
        <v>883</v>
      </c>
      <c r="F178">
        <v>741.72</v>
      </c>
      <c r="G178">
        <v>89</v>
      </c>
      <c r="H178">
        <v>2847.11</v>
      </c>
      <c r="I178">
        <f t="shared" si="12"/>
        <v>4.9997168903233113</v>
      </c>
      <c r="J178">
        <f t="shared" si="13"/>
        <v>10.079275198187995</v>
      </c>
      <c r="K178">
        <f t="shared" si="14"/>
        <v>0.84000000000000008</v>
      </c>
      <c r="L178">
        <f t="shared" si="15"/>
        <v>8.3339325842696628</v>
      </c>
      <c r="M178">
        <f t="shared" si="16"/>
        <v>3.8385239713099284</v>
      </c>
      <c r="N178">
        <f t="shared" si="17"/>
        <v>283.85239713099281</v>
      </c>
    </row>
    <row r="179" spans="1:14" x14ac:dyDescent="0.3">
      <c r="A179" s="1">
        <v>46098</v>
      </c>
      <c r="B179" t="s">
        <v>8</v>
      </c>
      <c r="C179" t="s">
        <v>53</v>
      </c>
      <c r="D179">
        <v>51558</v>
      </c>
      <c r="E179">
        <v>2867</v>
      </c>
      <c r="F179">
        <v>2666.31</v>
      </c>
      <c r="G179">
        <v>296</v>
      </c>
      <c r="H179">
        <v>14885.84</v>
      </c>
      <c r="I179">
        <f t="shared" si="12"/>
        <v>5.5607277241165294</v>
      </c>
      <c r="J179">
        <f t="shared" si="13"/>
        <v>10.324380885943494</v>
      </c>
      <c r="K179">
        <f t="shared" si="14"/>
        <v>0.92999999999999994</v>
      </c>
      <c r="L179">
        <f t="shared" si="15"/>
        <v>9.0078040540540538</v>
      </c>
      <c r="M179">
        <f t="shared" si="16"/>
        <v>5.5829367177860041</v>
      </c>
      <c r="N179">
        <f t="shared" si="17"/>
        <v>458.29367177860041</v>
      </c>
    </row>
    <row r="180" spans="1:14" x14ac:dyDescent="0.3">
      <c r="A180" s="1">
        <v>46132</v>
      </c>
      <c r="B180" t="s">
        <v>26</v>
      </c>
      <c r="C180" t="s">
        <v>40</v>
      </c>
      <c r="D180">
        <v>66550</v>
      </c>
      <c r="E180">
        <v>2316</v>
      </c>
      <c r="F180">
        <v>2084.4</v>
      </c>
      <c r="G180">
        <v>32</v>
      </c>
      <c r="H180">
        <v>5435.52</v>
      </c>
      <c r="I180">
        <f t="shared" si="12"/>
        <v>3.4800901577761083</v>
      </c>
      <c r="J180">
        <f t="shared" si="13"/>
        <v>1.3816925734024179</v>
      </c>
      <c r="K180">
        <f t="shared" si="14"/>
        <v>0.9</v>
      </c>
      <c r="L180">
        <f t="shared" si="15"/>
        <v>65.137500000000003</v>
      </c>
      <c r="M180">
        <f t="shared" si="16"/>
        <v>2.6077144502014971</v>
      </c>
      <c r="N180">
        <f t="shared" si="17"/>
        <v>160.77144502014968</v>
      </c>
    </row>
    <row r="181" spans="1:14" x14ac:dyDescent="0.3">
      <c r="A181" s="1">
        <v>46092</v>
      </c>
      <c r="B181" t="s">
        <v>26</v>
      </c>
      <c r="C181" t="s">
        <v>36</v>
      </c>
      <c r="D181">
        <v>50566</v>
      </c>
      <c r="E181">
        <v>334</v>
      </c>
      <c r="F181">
        <v>537.74</v>
      </c>
      <c r="G181">
        <v>16</v>
      </c>
      <c r="H181">
        <v>2188.8000000000002</v>
      </c>
      <c r="I181">
        <f t="shared" si="12"/>
        <v>0.66052288098722456</v>
      </c>
      <c r="J181">
        <f t="shared" si="13"/>
        <v>4.7904191616766472</v>
      </c>
      <c r="K181">
        <f t="shared" si="14"/>
        <v>1.61</v>
      </c>
      <c r="L181">
        <f t="shared" si="15"/>
        <v>33.608750000000001</v>
      </c>
      <c r="M181">
        <f t="shared" si="16"/>
        <v>4.0703685796109648</v>
      </c>
      <c r="N181">
        <f t="shared" si="17"/>
        <v>307.03685796109647</v>
      </c>
    </row>
    <row r="182" spans="1:14" x14ac:dyDescent="0.3">
      <c r="A182" s="1">
        <v>46101</v>
      </c>
      <c r="B182" t="s">
        <v>8</v>
      </c>
      <c r="C182" t="s">
        <v>50</v>
      </c>
      <c r="D182">
        <v>30883</v>
      </c>
      <c r="E182">
        <v>1615</v>
      </c>
      <c r="F182">
        <v>888.25</v>
      </c>
      <c r="G182">
        <v>60</v>
      </c>
      <c r="H182">
        <v>4938</v>
      </c>
      <c r="I182">
        <f t="shared" si="12"/>
        <v>5.229414240844477</v>
      </c>
      <c r="J182">
        <f t="shared" si="13"/>
        <v>3.7151702786377707</v>
      </c>
      <c r="K182">
        <f t="shared" si="14"/>
        <v>0.55000000000000004</v>
      </c>
      <c r="L182">
        <f t="shared" si="15"/>
        <v>14.804166666666667</v>
      </c>
      <c r="M182">
        <f t="shared" si="16"/>
        <v>5.5592457078525186</v>
      </c>
      <c r="N182">
        <f t="shared" si="17"/>
        <v>455.92457078525183</v>
      </c>
    </row>
    <row r="183" spans="1:14" x14ac:dyDescent="0.3">
      <c r="A183" s="1">
        <v>46107</v>
      </c>
      <c r="B183" t="s">
        <v>20</v>
      </c>
      <c r="C183" t="s">
        <v>9</v>
      </c>
      <c r="D183">
        <v>83074</v>
      </c>
      <c r="E183">
        <v>2201</v>
      </c>
      <c r="F183">
        <v>3741.7</v>
      </c>
      <c r="G183">
        <v>235</v>
      </c>
      <c r="H183">
        <v>34124.35</v>
      </c>
      <c r="I183">
        <f t="shared" si="12"/>
        <v>2.649445073067386</v>
      </c>
      <c r="J183">
        <f t="shared" si="13"/>
        <v>10.676965015901862</v>
      </c>
      <c r="K183">
        <f t="shared" si="14"/>
        <v>1.7</v>
      </c>
      <c r="L183">
        <f t="shared" si="15"/>
        <v>15.922127659574468</v>
      </c>
      <c r="M183">
        <f t="shared" si="16"/>
        <v>9.1200122938771155</v>
      </c>
      <c r="N183">
        <f t="shared" si="17"/>
        <v>812.00122938771142</v>
      </c>
    </row>
    <row r="184" spans="1:14" x14ac:dyDescent="0.3">
      <c r="A184" s="1">
        <v>46102</v>
      </c>
      <c r="B184" t="s">
        <v>20</v>
      </c>
      <c r="C184" t="s">
        <v>43</v>
      </c>
      <c r="D184">
        <v>56786</v>
      </c>
      <c r="E184">
        <v>1772</v>
      </c>
      <c r="F184">
        <v>3313.64</v>
      </c>
      <c r="G184">
        <v>144</v>
      </c>
      <c r="H184">
        <v>19563.84</v>
      </c>
      <c r="I184">
        <f t="shared" si="12"/>
        <v>3.1204874440883317</v>
      </c>
      <c r="J184">
        <f t="shared" si="13"/>
        <v>8.1264108352144468</v>
      </c>
      <c r="K184">
        <f t="shared" si="14"/>
        <v>1.8699999999999999</v>
      </c>
      <c r="L184">
        <f t="shared" si="15"/>
        <v>23.011388888888888</v>
      </c>
      <c r="M184">
        <f t="shared" si="16"/>
        <v>5.9040330271242505</v>
      </c>
      <c r="N184">
        <f t="shared" si="17"/>
        <v>490.40330271242505</v>
      </c>
    </row>
    <row r="185" spans="1:14" x14ac:dyDescent="0.3">
      <c r="A185" s="1">
        <v>46114</v>
      </c>
      <c r="B185" t="s">
        <v>11</v>
      </c>
      <c r="C185" t="s">
        <v>57</v>
      </c>
      <c r="D185">
        <v>22016</v>
      </c>
      <c r="E185">
        <v>266</v>
      </c>
      <c r="F185">
        <v>688.94</v>
      </c>
      <c r="G185">
        <v>25</v>
      </c>
      <c r="H185">
        <v>4361.5</v>
      </c>
      <c r="I185">
        <f t="shared" si="12"/>
        <v>1.2082122093023258</v>
      </c>
      <c r="J185">
        <f t="shared" si="13"/>
        <v>9.3984962406015029</v>
      </c>
      <c r="K185">
        <f t="shared" si="14"/>
        <v>2.5900000000000003</v>
      </c>
      <c r="L185">
        <f t="shared" si="15"/>
        <v>27.557600000000001</v>
      </c>
      <c r="M185">
        <f t="shared" si="16"/>
        <v>6.3307399773565178</v>
      </c>
      <c r="N185">
        <f t="shared" si="17"/>
        <v>533.0739977356518</v>
      </c>
    </row>
    <row r="186" spans="1:14" x14ac:dyDescent="0.3">
      <c r="A186" s="1">
        <v>46040</v>
      </c>
      <c r="B186" t="s">
        <v>22</v>
      </c>
      <c r="C186" t="s">
        <v>30</v>
      </c>
      <c r="D186">
        <v>34161</v>
      </c>
      <c r="E186">
        <v>936</v>
      </c>
      <c r="F186">
        <v>3201.12</v>
      </c>
      <c r="G186">
        <v>32</v>
      </c>
      <c r="H186">
        <v>1168.6400000000001</v>
      </c>
      <c r="I186">
        <f t="shared" si="12"/>
        <v>2.7399666286115747</v>
      </c>
      <c r="J186">
        <f t="shared" si="13"/>
        <v>3.4188034188034191</v>
      </c>
      <c r="K186">
        <f t="shared" si="14"/>
        <v>3.42</v>
      </c>
      <c r="L186">
        <f t="shared" si="15"/>
        <v>100.035</v>
      </c>
      <c r="M186">
        <f t="shared" si="16"/>
        <v>0.36507222472134759</v>
      </c>
      <c r="N186">
        <f t="shared" si="17"/>
        <v>-63.492777527865243</v>
      </c>
    </row>
    <row r="187" spans="1:14" x14ac:dyDescent="0.3">
      <c r="A187" s="1">
        <v>46112</v>
      </c>
      <c r="B187" t="s">
        <v>15</v>
      </c>
      <c r="C187" t="s">
        <v>35</v>
      </c>
      <c r="D187">
        <v>43832</v>
      </c>
      <c r="E187">
        <v>1368</v>
      </c>
      <c r="F187">
        <v>670.32</v>
      </c>
      <c r="G187">
        <v>130</v>
      </c>
      <c r="H187">
        <v>12844</v>
      </c>
      <c r="I187">
        <f t="shared" si="12"/>
        <v>3.1210074831173573</v>
      </c>
      <c r="J187">
        <f t="shared" si="13"/>
        <v>9.5029239766081872</v>
      </c>
      <c r="K187">
        <f t="shared" si="14"/>
        <v>0.49000000000000005</v>
      </c>
      <c r="L187">
        <f t="shared" si="15"/>
        <v>5.1563076923076929</v>
      </c>
      <c r="M187">
        <f t="shared" si="16"/>
        <v>19.160997732426303</v>
      </c>
      <c r="N187">
        <f t="shared" si="17"/>
        <v>1816.0997732426304</v>
      </c>
    </row>
    <row r="188" spans="1:14" x14ac:dyDescent="0.3">
      <c r="A188" s="1">
        <v>46129</v>
      </c>
      <c r="B188" t="s">
        <v>20</v>
      </c>
      <c r="C188" t="s">
        <v>14</v>
      </c>
      <c r="D188">
        <v>26928</v>
      </c>
      <c r="E188">
        <v>859</v>
      </c>
      <c r="F188">
        <v>2370.84</v>
      </c>
      <c r="G188">
        <v>40</v>
      </c>
      <c r="H188">
        <v>4907.6000000000004</v>
      </c>
      <c r="I188">
        <f t="shared" si="12"/>
        <v>3.1899881164587049</v>
      </c>
      <c r="J188">
        <f t="shared" si="13"/>
        <v>4.6565774155995348</v>
      </c>
      <c r="K188">
        <f t="shared" si="14"/>
        <v>2.7600000000000002</v>
      </c>
      <c r="L188">
        <f t="shared" si="15"/>
        <v>59.271000000000001</v>
      </c>
      <c r="M188">
        <f t="shared" si="16"/>
        <v>2.0699836344924161</v>
      </c>
      <c r="N188">
        <f t="shared" si="17"/>
        <v>106.99836344924162</v>
      </c>
    </row>
    <row r="189" spans="1:14" x14ac:dyDescent="0.3">
      <c r="A189" s="1">
        <v>46045</v>
      </c>
      <c r="B189" t="s">
        <v>15</v>
      </c>
      <c r="C189" t="s">
        <v>50</v>
      </c>
      <c r="D189">
        <v>8338</v>
      </c>
      <c r="E189">
        <v>224</v>
      </c>
      <c r="F189">
        <v>295.68</v>
      </c>
      <c r="G189">
        <v>19</v>
      </c>
      <c r="H189">
        <v>2026.92</v>
      </c>
      <c r="I189">
        <f t="shared" si="12"/>
        <v>2.6864955624850086</v>
      </c>
      <c r="J189">
        <f t="shared" si="13"/>
        <v>8.4821428571428577</v>
      </c>
      <c r="K189">
        <f t="shared" si="14"/>
        <v>1.32</v>
      </c>
      <c r="L189">
        <f t="shared" si="15"/>
        <v>15.562105263157894</v>
      </c>
      <c r="M189">
        <f t="shared" si="16"/>
        <v>6.8551136363636367</v>
      </c>
      <c r="N189">
        <f t="shared" si="17"/>
        <v>585.51136363636363</v>
      </c>
    </row>
    <row r="190" spans="1:14" x14ac:dyDescent="0.3">
      <c r="A190" s="1">
        <v>46136</v>
      </c>
      <c r="B190" t="s">
        <v>20</v>
      </c>
      <c r="C190" t="s">
        <v>17</v>
      </c>
      <c r="D190">
        <v>54808</v>
      </c>
      <c r="E190">
        <v>1326</v>
      </c>
      <c r="F190">
        <v>1365.78</v>
      </c>
      <c r="G190">
        <v>128</v>
      </c>
      <c r="H190">
        <v>20134.400000000001</v>
      </c>
      <c r="I190">
        <f t="shared" si="12"/>
        <v>2.4193548387096775</v>
      </c>
      <c r="J190">
        <f t="shared" si="13"/>
        <v>9.6530920060331837</v>
      </c>
      <c r="K190">
        <f t="shared" si="14"/>
        <v>1.03</v>
      </c>
      <c r="L190">
        <f t="shared" si="15"/>
        <v>10.67015625</v>
      </c>
      <c r="M190">
        <f t="shared" si="16"/>
        <v>14.742052160670095</v>
      </c>
      <c r="N190">
        <f t="shared" si="17"/>
        <v>1374.2052160670096</v>
      </c>
    </row>
    <row r="191" spans="1:14" x14ac:dyDescent="0.3">
      <c r="A191" s="1">
        <v>46125</v>
      </c>
      <c r="B191" t="s">
        <v>11</v>
      </c>
      <c r="C191" t="s">
        <v>50</v>
      </c>
      <c r="D191">
        <v>20711</v>
      </c>
      <c r="E191">
        <v>802</v>
      </c>
      <c r="F191">
        <v>1066.6600000000001</v>
      </c>
      <c r="G191">
        <v>63</v>
      </c>
      <c r="H191">
        <v>9599.94</v>
      </c>
      <c r="I191">
        <f t="shared" si="12"/>
        <v>3.8723383709140071</v>
      </c>
      <c r="J191">
        <f t="shared" si="13"/>
        <v>7.8553615960099759</v>
      </c>
      <c r="K191">
        <f t="shared" si="14"/>
        <v>1.33</v>
      </c>
      <c r="L191">
        <f t="shared" si="15"/>
        <v>16.931111111111111</v>
      </c>
      <c r="M191">
        <f t="shared" si="16"/>
        <v>9</v>
      </c>
      <c r="N191">
        <f t="shared" si="17"/>
        <v>800</v>
      </c>
    </row>
    <row r="192" spans="1:14" x14ac:dyDescent="0.3">
      <c r="A192" s="1">
        <v>46129</v>
      </c>
      <c r="B192" t="s">
        <v>26</v>
      </c>
      <c r="C192" t="s">
        <v>50</v>
      </c>
      <c r="D192">
        <v>11486</v>
      </c>
      <c r="E192">
        <v>501</v>
      </c>
      <c r="F192">
        <v>501</v>
      </c>
      <c r="G192">
        <v>17</v>
      </c>
      <c r="H192">
        <v>2162.5700000000002</v>
      </c>
      <c r="I192">
        <f t="shared" si="12"/>
        <v>4.3618317952289747</v>
      </c>
      <c r="J192">
        <f t="shared" si="13"/>
        <v>3.3932135728542914</v>
      </c>
      <c r="K192">
        <f t="shared" si="14"/>
        <v>1</v>
      </c>
      <c r="L192">
        <f t="shared" si="15"/>
        <v>29.470588235294116</v>
      </c>
      <c r="M192">
        <f t="shared" si="16"/>
        <v>4.3165069860279441</v>
      </c>
      <c r="N192">
        <f t="shared" si="17"/>
        <v>331.65069860279448</v>
      </c>
    </row>
    <row r="193" spans="1:14" x14ac:dyDescent="0.3">
      <c r="A193" s="1">
        <v>46103</v>
      </c>
      <c r="B193" t="s">
        <v>18</v>
      </c>
      <c r="C193" t="s">
        <v>21</v>
      </c>
      <c r="D193">
        <v>51075</v>
      </c>
      <c r="E193">
        <v>2676</v>
      </c>
      <c r="F193">
        <v>3532.32</v>
      </c>
      <c r="G193">
        <v>151</v>
      </c>
      <c r="H193">
        <v>12978.45</v>
      </c>
      <c r="I193">
        <f t="shared" si="12"/>
        <v>5.2393538913362701</v>
      </c>
      <c r="J193">
        <f t="shared" si="13"/>
        <v>5.6427503736920777</v>
      </c>
      <c r="K193">
        <f t="shared" si="14"/>
        <v>1.32</v>
      </c>
      <c r="L193">
        <f t="shared" si="15"/>
        <v>23.392847682119207</v>
      </c>
      <c r="M193">
        <f t="shared" si="16"/>
        <v>3.6741999592335914</v>
      </c>
      <c r="N193">
        <f t="shared" si="17"/>
        <v>267.41999592335918</v>
      </c>
    </row>
    <row r="194" spans="1:14" x14ac:dyDescent="0.3">
      <c r="A194" s="1">
        <v>46065</v>
      </c>
      <c r="B194" t="s">
        <v>20</v>
      </c>
      <c r="C194" t="s">
        <v>42</v>
      </c>
      <c r="D194">
        <v>662</v>
      </c>
      <c r="E194">
        <v>11</v>
      </c>
      <c r="F194">
        <v>34.869999999999997</v>
      </c>
      <c r="G194">
        <v>0</v>
      </c>
      <c r="H194">
        <v>0</v>
      </c>
      <c r="I194">
        <f t="shared" si="12"/>
        <v>1.6616314199395772</v>
      </c>
      <c r="J194">
        <f t="shared" si="13"/>
        <v>0</v>
      </c>
      <c r="K194">
        <f t="shared" si="14"/>
        <v>3.17</v>
      </c>
      <c r="L194" t="e">
        <f t="shared" si="15"/>
        <v>#DIV/0!</v>
      </c>
      <c r="M194">
        <f t="shared" si="16"/>
        <v>0</v>
      </c>
      <c r="N194">
        <f t="shared" si="17"/>
        <v>-100</v>
      </c>
    </row>
    <row r="195" spans="1:14" x14ac:dyDescent="0.3">
      <c r="A195" s="1">
        <v>46045</v>
      </c>
      <c r="B195" t="s">
        <v>26</v>
      </c>
      <c r="C195" t="s">
        <v>37</v>
      </c>
      <c r="D195">
        <v>8589</v>
      </c>
      <c r="E195">
        <v>155</v>
      </c>
      <c r="F195">
        <v>395.25</v>
      </c>
      <c r="G195">
        <v>11</v>
      </c>
      <c r="H195">
        <v>744.26</v>
      </c>
      <c r="I195">
        <f t="shared" ref="I195:I258" si="18">E195/D195*100</f>
        <v>1.8046338339736874</v>
      </c>
      <c r="J195">
        <f t="shared" ref="J195:J258" si="19">G195/E195*100</f>
        <v>7.096774193548387</v>
      </c>
      <c r="K195">
        <f t="shared" ref="K195:K258" si="20">F195/E195</f>
        <v>2.5499999999999998</v>
      </c>
      <c r="L195">
        <f t="shared" ref="L195:L258" si="21">F195/G195</f>
        <v>35.93181818181818</v>
      </c>
      <c r="M195">
        <f t="shared" ref="M195:M258" si="22">H195/F195</f>
        <v>1.8830107526881721</v>
      </c>
      <c r="N195">
        <f t="shared" ref="N195:N258" si="23">(H195-F195)/F195*100</f>
        <v>88.3010752688172</v>
      </c>
    </row>
    <row r="196" spans="1:14" x14ac:dyDescent="0.3">
      <c r="A196" s="1">
        <v>46068</v>
      </c>
      <c r="B196" t="s">
        <v>11</v>
      </c>
      <c r="C196" t="s">
        <v>9</v>
      </c>
      <c r="D196">
        <v>5791</v>
      </c>
      <c r="E196">
        <v>158</v>
      </c>
      <c r="F196">
        <v>333.38</v>
      </c>
      <c r="G196">
        <v>14</v>
      </c>
      <c r="H196">
        <v>757.96</v>
      </c>
      <c r="I196">
        <f t="shared" si="18"/>
        <v>2.7283716111207048</v>
      </c>
      <c r="J196">
        <f t="shared" si="19"/>
        <v>8.8607594936708853</v>
      </c>
      <c r="K196">
        <f t="shared" si="20"/>
        <v>2.11</v>
      </c>
      <c r="L196">
        <f t="shared" si="21"/>
        <v>23.812857142857144</v>
      </c>
      <c r="M196">
        <f t="shared" si="22"/>
        <v>2.2735617013618095</v>
      </c>
      <c r="N196">
        <f t="shared" si="23"/>
        <v>127.35617013618095</v>
      </c>
    </row>
    <row r="197" spans="1:14" x14ac:dyDescent="0.3">
      <c r="A197" s="1">
        <v>46114</v>
      </c>
      <c r="B197" t="s">
        <v>26</v>
      </c>
      <c r="C197" t="s">
        <v>19</v>
      </c>
      <c r="D197">
        <v>82443</v>
      </c>
      <c r="E197">
        <v>3842</v>
      </c>
      <c r="F197">
        <v>5225.12</v>
      </c>
      <c r="G197">
        <v>283</v>
      </c>
      <c r="H197">
        <v>58094.239999999998</v>
      </c>
      <c r="I197">
        <f t="shared" si="18"/>
        <v>4.6601894642358959</v>
      </c>
      <c r="J197">
        <f t="shared" si="19"/>
        <v>7.3659552316501831</v>
      </c>
      <c r="K197">
        <f t="shared" si="20"/>
        <v>1.3599999999999999</v>
      </c>
      <c r="L197">
        <f t="shared" si="21"/>
        <v>18.463321554770317</v>
      </c>
      <c r="M197">
        <f t="shared" si="22"/>
        <v>11.118259484949627</v>
      </c>
      <c r="N197">
        <f t="shared" si="23"/>
        <v>1011.8259484949627</v>
      </c>
    </row>
    <row r="198" spans="1:14" x14ac:dyDescent="0.3">
      <c r="A198" s="1">
        <v>46078</v>
      </c>
      <c r="B198" t="s">
        <v>18</v>
      </c>
      <c r="C198" t="s">
        <v>46</v>
      </c>
      <c r="D198">
        <v>68958</v>
      </c>
      <c r="E198">
        <v>1710</v>
      </c>
      <c r="F198">
        <v>1812.6</v>
      </c>
      <c r="G198">
        <v>30</v>
      </c>
      <c r="H198">
        <v>4308.6000000000004</v>
      </c>
      <c r="I198">
        <f t="shared" si="18"/>
        <v>2.479770294962151</v>
      </c>
      <c r="J198">
        <f t="shared" si="19"/>
        <v>1.7543859649122806</v>
      </c>
      <c r="K198">
        <f t="shared" si="20"/>
        <v>1.06</v>
      </c>
      <c r="L198">
        <f t="shared" si="21"/>
        <v>60.419999999999995</v>
      </c>
      <c r="M198">
        <f t="shared" si="22"/>
        <v>2.3770274743462432</v>
      </c>
      <c r="N198">
        <f t="shared" si="23"/>
        <v>137.70274743462434</v>
      </c>
    </row>
    <row r="199" spans="1:14" x14ac:dyDescent="0.3">
      <c r="A199" s="1">
        <v>46032</v>
      </c>
      <c r="B199" t="s">
        <v>22</v>
      </c>
      <c r="C199" t="s">
        <v>29</v>
      </c>
      <c r="D199">
        <v>24010</v>
      </c>
      <c r="E199">
        <v>540</v>
      </c>
      <c r="F199">
        <v>1252.8</v>
      </c>
      <c r="G199">
        <v>62</v>
      </c>
      <c r="H199">
        <v>3198.58</v>
      </c>
      <c r="I199">
        <f t="shared" si="18"/>
        <v>2.2490628904623073</v>
      </c>
      <c r="J199">
        <f t="shared" si="19"/>
        <v>11.481481481481481</v>
      </c>
      <c r="K199">
        <f t="shared" si="20"/>
        <v>2.3199999999999998</v>
      </c>
      <c r="L199">
        <f t="shared" si="21"/>
        <v>20.206451612903226</v>
      </c>
      <c r="M199">
        <f t="shared" si="22"/>
        <v>2.5531449553001275</v>
      </c>
      <c r="N199">
        <f t="shared" si="23"/>
        <v>155.31449553001278</v>
      </c>
    </row>
    <row r="200" spans="1:14" x14ac:dyDescent="0.3">
      <c r="A200" s="1">
        <v>46041</v>
      </c>
      <c r="B200" t="s">
        <v>26</v>
      </c>
      <c r="C200" t="s">
        <v>14</v>
      </c>
      <c r="D200">
        <v>33257</v>
      </c>
      <c r="E200">
        <v>918</v>
      </c>
      <c r="F200">
        <v>2322.54</v>
      </c>
      <c r="G200">
        <v>25</v>
      </c>
      <c r="H200">
        <v>4919.5</v>
      </c>
      <c r="I200">
        <f t="shared" si="18"/>
        <v>2.7603211354000661</v>
      </c>
      <c r="J200">
        <f t="shared" si="19"/>
        <v>2.7233115468409586</v>
      </c>
      <c r="K200">
        <f t="shared" si="20"/>
        <v>2.5299999999999998</v>
      </c>
      <c r="L200">
        <f t="shared" si="21"/>
        <v>92.901600000000002</v>
      </c>
      <c r="M200">
        <f t="shared" si="22"/>
        <v>2.1181551232702129</v>
      </c>
      <c r="N200">
        <f t="shared" si="23"/>
        <v>111.81551232702127</v>
      </c>
    </row>
    <row r="201" spans="1:14" x14ac:dyDescent="0.3">
      <c r="A201" s="1">
        <v>46123</v>
      </c>
      <c r="B201" t="s">
        <v>18</v>
      </c>
      <c r="C201" t="s">
        <v>49</v>
      </c>
      <c r="D201">
        <v>47377</v>
      </c>
      <c r="E201">
        <v>1260</v>
      </c>
      <c r="F201">
        <v>2809.8</v>
      </c>
      <c r="G201">
        <v>140</v>
      </c>
      <c r="H201">
        <v>17634.400000000001</v>
      </c>
      <c r="I201">
        <f t="shared" si="18"/>
        <v>2.6595183316799291</v>
      </c>
      <c r="J201">
        <f t="shared" si="19"/>
        <v>11.111111111111111</v>
      </c>
      <c r="K201">
        <f t="shared" si="20"/>
        <v>2.23</v>
      </c>
      <c r="L201">
        <f t="shared" si="21"/>
        <v>20.07</v>
      </c>
      <c r="M201">
        <f t="shared" si="22"/>
        <v>6.2760338814150476</v>
      </c>
      <c r="N201">
        <f t="shared" si="23"/>
        <v>527.60338814150475</v>
      </c>
    </row>
    <row r="202" spans="1:14" x14ac:dyDescent="0.3">
      <c r="A202" s="1">
        <v>46079</v>
      </c>
      <c r="B202" t="s">
        <v>20</v>
      </c>
      <c r="C202" t="s">
        <v>14</v>
      </c>
      <c r="D202">
        <v>42700</v>
      </c>
      <c r="E202">
        <v>1870</v>
      </c>
      <c r="F202">
        <v>2281.4</v>
      </c>
      <c r="G202">
        <v>179</v>
      </c>
      <c r="H202">
        <v>22600.54</v>
      </c>
      <c r="I202">
        <f t="shared" si="18"/>
        <v>4.3793911007025761</v>
      </c>
      <c r="J202">
        <f t="shared" si="19"/>
        <v>9.572192513368984</v>
      </c>
      <c r="K202">
        <f t="shared" si="20"/>
        <v>1.22</v>
      </c>
      <c r="L202">
        <f t="shared" si="21"/>
        <v>12.745251396648046</v>
      </c>
      <c r="M202">
        <f t="shared" si="22"/>
        <v>9.9064346453931797</v>
      </c>
      <c r="N202">
        <f t="shared" si="23"/>
        <v>890.64346453931796</v>
      </c>
    </row>
    <row r="203" spans="1:14" x14ac:dyDescent="0.3">
      <c r="A203" s="1">
        <v>46125</v>
      </c>
      <c r="B203" t="s">
        <v>22</v>
      </c>
      <c r="C203" t="s">
        <v>38</v>
      </c>
      <c r="D203">
        <v>16710</v>
      </c>
      <c r="E203">
        <v>222</v>
      </c>
      <c r="F203">
        <v>621.6</v>
      </c>
      <c r="G203">
        <v>12</v>
      </c>
      <c r="H203">
        <v>297.24</v>
      </c>
      <c r="I203">
        <f t="shared" si="18"/>
        <v>1.3285457809694794</v>
      </c>
      <c r="J203">
        <f t="shared" si="19"/>
        <v>5.4054054054054053</v>
      </c>
      <c r="K203">
        <f t="shared" si="20"/>
        <v>2.8000000000000003</v>
      </c>
      <c r="L203">
        <f t="shared" si="21"/>
        <v>51.800000000000004</v>
      </c>
      <c r="M203">
        <f t="shared" si="22"/>
        <v>0.47818532818532816</v>
      </c>
      <c r="N203">
        <f t="shared" si="23"/>
        <v>-52.181467181467177</v>
      </c>
    </row>
    <row r="204" spans="1:14" x14ac:dyDescent="0.3">
      <c r="A204" s="1">
        <v>46079</v>
      </c>
      <c r="B204" t="s">
        <v>20</v>
      </c>
      <c r="C204" t="s">
        <v>37</v>
      </c>
      <c r="D204">
        <v>54414</v>
      </c>
      <c r="E204">
        <v>1213</v>
      </c>
      <c r="F204">
        <v>2244.0500000000002</v>
      </c>
      <c r="G204">
        <v>78</v>
      </c>
      <c r="H204">
        <v>6426.42</v>
      </c>
      <c r="I204">
        <f t="shared" si="18"/>
        <v>2.2292057191164041</v>
      </c>
      <c r="J204">
        <f t="shared" si="19"/>
        <v>6.4303380049464138</v>
      </c>
      <c r="K204">
        <f t="shared" si="20"/>
        <v>1.85</v>
      </c>
      <c r="L204">
        <f t="shared" si="21"/>
        <v>28.769871794871797</v>
      </c>
      <c r="M204">
        <f t="shared" si="22"/>
        <v>2.8637597201488378</v>
      </c>
      <c r="N204">
        <f t="shared" si="23"/>
        <v>186.37597201488379</v>
      </c>
    </row>
    <row r="205" spans="1:14" x14ac:dyDescent="0.3">
      <c r="A205" s="1">
        <v>46137</v>
      </c>
      <c r="B205" t="s">
        <v>8</v>
      </c>
      <c r="C205" t="s">
        <v>34</v>
      </c>
      <c r="D205">
        <v>82838</v>
      </c>
      <c r="E205">
        <v>3015</v>
      </c>
      <c r="F205">
        <v>3105.45</v>
      </c>
      <c r="G205">
        <v>182</v>
      </c>
      <c r="H205">
        <v>26091.52</v>
      </c>
      <c r="I205">
        <f t="shared" si="18"/>
        <v>3.6396339844032934</v>
      </c>
      <c r="J205">
        <f t="shared" si="19"/>
        <v>6.0364842454394694</v>
      </c>
      <c r="K205">
        <f t="shared" si="20"/>
        <v>1.03</v>
      </c>
      <c r="L205">
        <f t="shared" si="21"/>
        <v>17.062912087912085</v>
      </c>
      <c r="M205">
        <f t="shared" si="22"/>
        <v>8.4018483633611876</v>
      </c>
      <c r="N205">
        <f t="shared" si="23"/>
        <v>740.18483633611879</v>
      </c>
    </row>
    <row r="206" spans="1:14" x14ac:dyDescent="0.3">
      <c r="A206" s="1">
        <v>46129</v>
      </c>
      <c r="B206" t="s">
        <v>15</v>
      </c>
      <c r="C206" t="s">
        <v>49</v>
      </c>
      <c r="D206">
        <v>82933</v>
      </c>
      <c r="E206">
        <v>1766</v>
      </c>
      <c r="F206">
        <v>1165.56</v>
      </c>
      <c r="G206">
        <v>207</v>
      </c>
      <c r="H206">
        <v>45183.96</v>
      </c>
      <c r="I206">
        <f t="shared" si="18"/>
        <v>2.1294297806663209</v>
      </c>
      <c r="J206">
        <f t="shared" si="19"/>
        <v>11.721404303510759</v>
      </c>
      <c r="K206">
        <f t="shared" si="20"/>
        <v>0.65999999999999992</v>
      </c>
      <c r="L206">
        <f t="shared" si="21"/>
        <v>5.6307246376811593</v>
      </c>
      <c r="M206">
        <f t="shared" si="22"/>
        <v>38.765880778338314</v>
      </c>
      <c r="N206">
        <f t="shared" si="23"/>
        <v>3776.5880778338314</v>
      </c>
    </row>
    <row r="207" spans="1:14" x14ac:dyDescent="0.3">
      <c r="A207" s="1">
        <v>46107</v>
      </c>
      <c r="B207" t="s">
        <v>26</v>
      </c>
      <c r="C207" t="s">
        <v>43</v>
      </c>
      <c r="D207">
        <v>44654</v>
      </c>
      <c r="E207">
        <v>1880</v>
      </c>
      <c r="F207">
        <v>902.4</v>
      </c>
      <c r="G207">
        <v>183</v>
      </c>
      <c r="H207">
        <v>9609.33</v>
      </c>
      <c r="I207">
        <f t="shared" si="18"/>
        <v>4.2101491467729648</v>
      </c>
      <c r="J207">
        <f t="shared" si="19"/>
        <v>9.7340425531914896</v>
      </c>
      <c r="K207">
        <f t="shared" si="20"/>
        <v>0.48</v>
      </c>
      <c r="L207">
        <f t="shared" si="21"/>
        <v>4.9311475409836065</v>
      </c>
      <c r="M207">
        <f t="shared" si="22"/>
        <v>10.648636968085107</v>
      </c>
      <c r="N207">
        <f t="shared" si="23"/>
        <v>964.86369680851067</v>
      </c>
    </row>
    <row r="208" spans="1:14" x14ac:dyDescent="0.3">
      <c r="A208" s="1">
        <v>46038</v>
      </c>
      <c r="B208" t="s">
        <v>26</v>
      </c>
      <c r="C208" t="s">
        <v>57</v>
      </c>
      <c r="D208">
        <v>41201</v>
      </c>
      <c r="E208">
        <v>231</v>
      </c>
      <c r="F208">
        <v>427.35</v>
      </c>
      <c r="G208">
        <v>8</v>
      </c>
      <c r="H208">
        <v>1738.56</v>
      </c>
      <c r="I208">
        <f t="shared" si="18"/>
        <v>0.56066600325234828</v>
      </c>
      <c r="J208">
        <f t="shared" si="19"/>
        <v>3.4632034632034632</v>
      </c>
      <c r="K208">
        <f t="shared" si="20"/>
        <v>1.85</v>
      </c>
      <c r="L208">
        <f t="shared" si="21"/>
        <v>53.418750000000003</v>
      </c>
      <c r="M208">
        <f t="shared" si="22"/>
        <v>4.0682344682344675</v>
      </c>
      <c r="N208">
        <f t="shared" si="23"/>
        <v>306.82344682344677</v>
      </c>
    </row>
    <row r="209" spans="1:14" x14ac:dyDescent="0.3">
      <c r="A209" s="1">
        <v>46137</v>
      </c>
      <c r="B209" t="s">
        <v>20</v>
      </c>
      <c r="C209" t="s">
        <v>17</v>
      </c>
      <c r="D209">
        <v>66005</v>
      </c>
      <c r="E209">
        <v>3333</v>
      </c>
      <c r="F209">
        <v>11665.5</v>
      </c>
      <c r="G209">
        <v>116</v>
      </c>
      <c r="H209">
        <v>24757.88</v>
      </c>
      <c r="I209">
        <f t="shared" si="18"/>
        <v>5.0496174532232407</v>
      </c>
      <c r="J209">
        <f t="shared" si="19"/>
        <v>3.4803480348034799</v>
      </c>
      <c r="K209">
        <f t="shared" si="20"/>
        <v>3.5</v>
      </c>
      <c r="L209">
        <f t="shared" si="21"/>
        <v>100.56465517241379</v>
      </c>
      <c r="M209">
        <f t="shared" si="22"/>
        <v>2.1223162316231625</v>
      </c>
      <c r="N209">
        <f t="shared" si="23"/>
        <v>112.23162316231623</v>
      </c>
    </row>
    <row r="210" spans="1:14" x14ac:dyDescent="0.3">
      <c r="A210" s="1">
        <v>46116</v>
      </c>
      <c r="B210" t="s">
        <v>15</v>
      </c>
      <c r="C210" t="s">
        <v>59</v>
      </c>
      <c r="D210">
        <v>49932</v>
      </c>
      <c r="E210">
        <v>649</v>
      </c>
      <c r="F210">
        <v>1667.93</v>
      </c>
      <c r="G210">
        <v>65</v>
      </c>
      <c r="H210">
        <v>2820.35</v>
      </c>
      <c r="I210">
        <f t="shared" si="18"/>
        <v>1.2997676840503083</v>
      </c>
      <c r="J210">
        <f t="shared" si="19"/>
        <v>10.015408320493066</v>
      </c>
      <c r="K210">
        <f t="shared" si="20"/>
        <v>2.5700000000000003</v>
      </c>
      <c r="L210">
        <f t="shared" si="21"/>
        <v>25.66046153846154</v>
      </c>
      <c r="M210">
        <f t="shared" si="22"/>
        <v>1.6909282763665141</v>
      </c>
      <c r="N210">
        <f t="shared" si="23"/>
        <v>69.092827636651407</v>
      </c>
    </row>
    <row r="211" spans="1:14" x14ac:dyDescent="0.3">
      <c r="A211" s="1">
        <v>46072</v>
      </c>
      <c r="B211" t="s">
        <v>20</v>
      </c>
      <c r="C211" t="s">
        <v>14</v>
      </c>
      <c r="D211">
        <v>57225</v>
      </c>
      <c r="E211">
        <v>2077</v>
      </c>
      <c r="F211">
        <v>1246.2</v>
      </c>
      <c r="G211">
        <v>107</v>
      </c>
      <c r="H211">
        <v>4099.17</v>
      </c>
      <c r="I211">
        <f t="shared" si="18"/>
        <v>3.6295325469637394</v>
      </c>
      <c r="J211">
        <f t="shared" si="19"/>
        <v>5.1516610495907562</v>
      </c>
      <c r="K211">
        <f t="shared" si="20"/>
        <v>0.6</v>
      </c>
      <c r="L211">
        <f t="shared" si="21"/>
        <v>11.646728971962617</v>
      </c>
      <c r="M211">
        <f t="shared" si="22"/>
        <v>3.2893355801636974</v>
      </c>
      <c r="N211">
        <f t="shared" si="23"/>
        <v>228.93355801636977</v>
      </c>
    </row>
    <row r="212" spans="1:14" x14ac:dyDescent="0.3">
      <c r="A212" s="1">
        <v>46109</v>
      </c>
      <c r="B212" t="s">
        <v>20</v>
      </c>
      <c r="C212" t="s">
        <v>28</v>
      </c>
      <c r="D212">
        <v>84511</v>
      </c>
      <c r="E212">
        <v>5020</v>
      </c>
      <c r="F212">
        <v>5973.8</v>
      </c>
      <c r="G212">
        <v>345</v>
      </c>
      <c r="H212">
        <v>22487.1</v>
      </c>
      <c r="I212">
        <f t="shared" si="18"/>
        <v>5.9400551407509088</v>
      </c>
      <c r="J212">
        <f t="shared" si="19"/>
        <v>6.8725099601593618</v>
      </c>
      <c r="K212">
        <f t="shared" si="20"/>
        <v>1.19</v>
      </c>
      <c r="L212">
        <f t="shared" si="21"/>
        <v>17.315362318840581</v>
      </c>
      <c r="M212">
        <f t="shared" si="22"/>
        <v>3.7642873882620775</v>
      </c>
      <c r="N212">
        <f t="shared" si="23"/>
        <v>276.42873882620773</v>
      </c>
    </row>
    <row r="213" spans="1:14" x14ac:dyDescent="0.3">
      <c r="A213" s="1">
        <v>46055</v>
      </c>
      <c r="B213" t="s">
        <v>22</v>
      </c>
      <c r="C213" t="s">
        <v>43</v>
      </c>
      <c r="D213">
        <v>79541</v>
      </c>
      <c r="E213">
        <v>3579</v>
      </c>
      <c r="F213">
        <v>7265.37</v>
      </c>
      <c r="G213">
        <v>366</v>
      </c>
      <c r="H213">
        <v>66590.039999999994</v>
      </c>
      <c r="I213">
        <f t="shared" si="18"/>
        <v>4.4995662614249259</v>
      </c>
      <c r="J213">
        <f t="shared" si="19"/>
        <v>10.226320201173513</v>
      </c>
      <c r="K213">
        <f t="shared" si="20"/>
        <v>2.0299999999999998</v>
      </c>
      <c r="L213">
        <f t="shared" si="21"/>
        <v>19.850737704918032</v>
      </c>
      <c r="M213">
        <f t="shared" si="22"/>
        <v>9.1654024502537368</v>
      </c>
      <c r="N213">
        <f t="shared" si="23"/>
        <v>816.54024502537368</v>
      </c>
    </row>
    <row r="214" spans="1:14" x14ac:dyDescent="0.3">
      <c r="A214" s="1">
        <v>46087</v>
      </c>
      <c r="B214" t="s">
        <v>8</v>
      </c>
      <c r="C214" t="s">
        <v>25</v>
      </c>
      <c r="D214">
        <v>60925</v>
      </c>
      <c r="E214">
        <v>835</v>
      </c>
      <c r="F214">
        <v>2630.25</v>
      </c>
      <c r="G214">
        <v>89</v>
      </c>
      <c r="H214">
        <v>21062.74</v>
      </c>
      <c r="I214">
        <f t="shared" si="18"/>
        <v>1.3705375461633156</v>
      </c>
      <c r="J214">
        <f t="shared" si="19"/>
        <v>10.658682634730539</v>
      </c>
      <c r="K214">
        <f t="shared" si="20"/>
        <v>3.15</v>
      </c>
      <c r="L214">
        <f t="shared" si="21"/>
        <v>29.553370786516854</v>
      </c>
      <c r="M214">
        <f t="shared" si="22"/>
        <v>8.0078851820169188</v>
      </c>
      <c r="N214">
        <f t="shared" si="23"/>
        <v>700.78851820169189</v>
      </c>
    </row>
    <row r="215" spans="1:14" x14ac:dyDescent="0.3">
      <c r="A215" s="1">
        <v>46093</v>
      </c>
      <c r="B215" t="s">
        <v>8</v>
      </c>
      <c r="C215" t="s">
        <v>36</v>
      </c>
      <c r="D215">
        <v>2708</v>
      </c>
      <c r="E215">
        <v>84</v>
      </c>
      <c r="F215">
        <v>257.88</v>
      </c>
      <c r="G215">
        <v>2</v>
      </c>
      <c r="H215">
        <v>284.3</v>
      </c>
      <c r="I215">
        <f t="shared" si="18"/>
        <v>3.1019202363367802</v>
      </c>
      <c r="J215">
        <f t="shared" si="19"/>
        <v>2.3809523809523809</v>
      </c>
      <c r="K215">
        <f t="shared" si="20"/>
        <v>3.07</v>
      </c>
      <c r="L215">
        <f t="shared" si="21"/>
        <v>128.94</v>
      </c>
      <c r="M215">
        <f t="shared" si="22"/>
        <v>1.1024507522878859</v>
      </c>
      <c r="N215">
        <f t="shared" si="23"/>
        <v>10.24507522878859</v>
      </c>
    </row>
    <row r="216" spans="1:14" x14ac:dyDescent="0.3">
      <c r="A216" s="1">
        <v>46122</v>
      </c>
      <c r="B216" t="s">
        <v>26</v>
      </c>
      <c r="C216" t="s">
        <v>45</v>
      </c>
      <c r="D216">
        <v>38411</v>
      </c>
      <c r="E216">
        <v>810</v>
      </c>
      <c r="F216">
        <v>1077.3</v>
      </c>
      <c r="G216">
        <v>37</v>
      </c>
      <c r="H216">
        <v>3120.58</v>
      </c>
      <c r="I216">
        <f t="shared" si="18"/>
        <v>2.1087709249954441</v>
      </c>
      <c r="J216">
        <f t="shared" si="19"/>
        <v>4.5679012345679011</v>
      </c>
      <c r="K216">
        <f t="shared" si="20"/>
        <v>1.3299999999999998</v>
      </c>
      <c r="L216">
        <f t="shared" si="21"/>
        <v>29.116216216216216</v>
      </c>
      <c r="M216">
        <f t="shared" si="22"/>
        <v>2.8966675949132088</v>
      </c>
      <c r="N216">
        <f t="shared" si="23"/>
        <v>189.6667594913209</v>
      </c>
    </row>
    <row r="217" spans="1:14" x14ac:dyDescent="0.3">
      <c r="A217" s="1">
        <v>46076</v>
      </c>
      <c r="B217" t="s">
        <v>11</v>
      </c>
      <c r="C217" t="s">
        <v>39</v>
      </c>
      <c r="D217">
        <v>83786</v>
      </c>
      <c r="E217">
        <v>2522</v>
      </c>
      <c r="F217">
        <v>8322.6</v>
      </c>
      <c r="G217">
        <v>134</v>
      </c>
      <c r="H217">
        <v>9806.1200000000008</v>
      </c>
      <c r="I217">
        <f t="shared" si="18"/>
        <v>3.0100494115962091</v>
      </c>
      <c r="J217">
        <f t="shared" si="19"/>
        <v>5.3132434575733543</v>
      </c>
      <c r="K217">
        <f t="shared" si="20"/>
        <v>3.3000000000000003</v>
      </c>
      <c r="L217">
        <f t="shared" si="21"/>
        <v>62.108955223880599</v>
      </c>
      <c r="M217">
        <f t="shared" si="22"/>
        <v>1.178251988561267</v>
      </c>
      <c r="N217">
        <f t="shared" si="23"/>
        <v>17.825198856126693</v>
      </c>
    </row>
    <row r="218" spans="1:14" x14ac:dyDescent="0.3">
      <c r="A218" s="1">
        <v>46128</v>
      </c>
      <c r="B218" t="s">
        <v>26</v>
      </c>
      <c r="C218" t="s">
        <v>40</v>
      </c>
      <c r="D218">
        <v>60623</v>
      </c>
      <c r="E218">
        <v>2486</v>
      </c>
      <c r="F218">
        <v>5444.34</v>
      </c>
      <c r="G218">
        <v>253</v>
      </c>
      <c r="H218">
        <v>5259.87</v>
      </c>
      <c r="I218">
        <f t="shared" si="18"/>
        <v>4.1007538393019152</v>
      </c>
      <c r="J218">
        <f t="shared" si="19"/>
        <v>10.176991150442479</v>
      </c>
      <c r="K218">
        <f t="shared" si="20"/>
        <v>2.19</v>
      </c>
      <c r="L218">
        <f t="shared" si="21"/>
        <v>21.51913043478261</v>
      </c>
      <c r="M218">
        <f t="shared" si="22"/>
        <v>0.9661171051036489</v>
      </c>
      <c r="N218">
        <f t="shared" si="23"/>
        <v>-3.3882894896351123</v>
      </c>
    </row>
    <row r="219" spans="1:14" x14ac:dyDescent="0.3">
      <c r="A219" s="1">
        <v>46029</v>
      </c>
      <c r="B219" t="s">
        <v>20</v>
      </c>
      <c r="C219" t="s">
        <v>56</v>
      </c>
      <c r="D219">
        <v>38003</v>
      </c>
      <c r="E219">
        <v>1494</v>
      </c>
      <c r="F219">
        <v>3570.66</v>
      </c>
      <c r="G219">
        <v>67</v>
      </c>
      <c r="H219">
        <v>11493.18</v>
      </c>
      <c r="I219">
        <f t="shared" si="18"/>
        <v>3.9312685840591532</v>
      </c>
      <c r="J219">
        <f t="shared" si="19"/>
        <v>4.4846050870147263</v>
      </c>
      <c r="K219">
        <f t="shared" si="20"/>
        <v>2.39</v>
      </c>
      <c r="L219">
        <f t="shared" si="21"/>
        <v>53.293432835820894</v>
      </c>
      <c r="M219">
        <f t="shared" si="22"/>
        <v>3.2187830821192724</v>
      </c>
      <c r="N219">
        <f t="shared" si="23"/>
        <v>221.87830821192725</v>
      </c>
    </row>
    <row r="220" spans="1:14" x14ac:dyDescent="0.3">
      <c r="A220" s="1">
        <v>46126</v>
      </c>
      <c r="B220" t="s">
        <v>11</v>
      </c>
      <c r="C220" t="s">
        <v>38</v>
      </c>
      <c r="D220">
        <v>57982</v>
      </c>
      <c r="E220">
        <v>1339</v>
      </c>
      <c r="F220">
        <v>3950.05</v>
      </c>
      <c r="G220">
        <v>75</v>
      </c>
      <c r="H220">
        <v>14185.5</v>
      </c>
      <c r="I220">
        <f t="shared" si="18"/>
        <v>2.3093373805663826</v>
      </c>
      <c r="J220">
        <f t="shared" si="19"/>
        <v>5.6011949215832715</v>
      </c>
      <c r="K220">
        <f t="shared" si="20"/>
        <v>2.95</v>
      </c>
      <c r="L220">
        <f t="shared" si="21"/>
        <v>52.667333333333339</v>
      </c>
      <c r="M220">
        <f t="shared" si="22"/>
        <v>3.5912203642991858</v>
      </c>
      <c r="N220">
        <f t="shared" si="23"/>
        <v>259.12203642991864</v>
      </c>
    </row>
    <row r="221" spans="1:14" x14ac:dyDescent="0.3">
      <c r="A221" s="1">
        <v>46091</v>
      </c>
      <c r="B221" t="s">
        <v>18</v>
      </c>
      <c r="C221" t="s">
        <v>43</v>
      </c>
      <c r="D221">
        <v>22712</v>
      </c>
      <c r="E221">
        <v>1192</v>
      </c>
      <c r="F221">
        <v>786.72</v>
      </c>
      <c r="G221">
        <v>14</v>
      </c>
      <c r="H221">
        <v>341.74</v>
      </c>
      <c r="I221">
        <f t="shared" si="18"/>
        <v>5.2483268756604442</v>
      </c>
      <c r="J221">
        <f t="shared" si="19"/>
        <v>1.174496644295302</v>
      </c>
      <c r="K221">
        <f t="shared" si="20"/>
        <v>0.66</v>
      </c>
      <c r="L221">
        <f t="shared" si="21"/>
        <v>56.194285714285719</v>
      </c>
      <c r="M221">
        <f t="shared" si="22"/>
        <v>0.43438580435224733</v>
      </c>
      <c r="N221">
        <f t="shared" si="23"/>
        <v>-56.561419564775271</v>
      </c>
    </row>
    <row r="222" spans="1:14" x14ac:dyDescent="0.3">
      <c r="A222" s="1">
        <v>46089</v>
      </c>
      <c r="B222" t="s">
        <v>15</v>
      </c>
      <c r="C222" t="s">
        <v>24</v>
      </c>
      <c r="D222">
        <v>48568</v>
      </c>
      <c r="E222">
        <v>1462</v>
      </c>
      <c r="F222">
        <v>1871.36</v>
      </c>
      <c r="G222">
        <v>98</v>
      </c>
      <c r="H222">
        <v>5684</v>
      </c>
      <c r="I222">
        <f t="shared" si="18"/>
        <v>3.0102124855872181</v>
      </c>
      <c r="J222">
        <f t="shared" si="19"/>
        <v>6.703146374829001</v>
      </c>
      <c r="K222">
        <f t="shared" si="20"/>
        <v>1.28</v>
      </c>
      <c r="L222">
        <f t="shared" si="21"/>
        <v>19.095510204081631</v>
      </c>
      <c r="M222">
        <f t="shared" si="22"/>
        <v>3.0373632010943914</v>
      </c>
      <c r="N222">
        <f t="shared" si="23"/>
        <v>203.73632010943913</v>
      </c>
    </row>
    <row r="223" spans="1:14" x14ac:dyDescent="0.3">
      <c r="A223" s="1">
        <v>46136</v>
      </c>
      <c r="B223" t="s">
        <v>26</v>
      </c>
      <c r="C223" t="s">
        <v>48</v>
      </c>
      <c r="D223">
        <v>49773</v>
      </c>
      <c r="E223">
        <v>1911</v>
      </c>
      <c r="F223">
        <v>3764.67</v>
      </c>
      <c r="G223">
        <v>96</v>
      </c>
      <c r="H223">
        <v>7416</v>
      </c>
      <c r="I223">
        <f t="shared" si="18"/>
        <v>3.8394310168163464</v>
      </c>
      <c r="J223">
        <f t="shared" si="19"/>
        <v>5.0235478806907379</v>
      </c>
      <c r="K223">
        <f t="shared" si="20"/>
        <v>1.97</v>
      </c>
      <c r="L223">
        <f t="shared" si="21"/>
        <v>39.215312500000003</v>
      </c>
      <c r="M223">
        <f t="shared" si="22"/>
        <v>1.9698937755500481</v>
      </c>
      <c r="N223">
        <f t="shared" si="23"/>
        <v>96.989377555004822</v>
      </c>
    </row>
    <row r="224" spans="1:14" x14ac:dyDescent="0.3">
      <c r="A224" s="1">
        <v>46131</v>
      </c>
      <c r="B224" t="s">
        <v>11</v>
      </c>
      <c r="C224" t="s">
        <v>51</v>
      </c>
      <c r="D224">
        <v>38153</v>
      </c>
      <c r="E224">
        <v>1415</v>
      </c>
      <c r="F224">
        <v>2292.3000000000002</v>
      </c>
      <c r="G224">
        <v>58</v>
      </c>
      <c r="H224">
        <v>4341.88</v>
      </c>
      <c r="I224">
        <f t="shared" si="18"/>
        <v>3.7087516053783451</v>
      </c>
      <c r="J224">
        <f t="shared" si="19"/>
        <v>4.0989399293286217</v>
      </c>
      <c r="K224">
        <f t="shared" si="20"/>
        <v>1.62</v>
      </c>
      <c r="L224">
        <f t="shared" si="21"/>
        <v>39.522413793103453</v>
      </c>
      <c r="M224">
        <f t="shared" si="22"/>
        <v>1.8941150809230902</v>
      </c>
      <c r="N224">
        <f t="shared" si="23"/>
        <v>89.41150809230902</v>
      </c>
    </row>
    <row r="225" spans="1:14" x14ac:dyDescent="0.3">
      <c r="A225" s="1">
        <v>46058</v>
      </c>
      <c r="B225" t="s">
        <v>11</v>
      </c>
      <c r="C225" t="s">
        <v>9</v>
      </c>
      <c r="D225">
        <v>61259</v>
      </c>
      <c r="E225">
        <v>3253</v>
      </c>
      <c r="F225">
        <v>2797.58</v>
      </c>
      <c r="G225">
        <v>306</v>
      </c>
      <c r="H225">
        <v>32662.44</v>
      </c>
      <c r="I225">
        <f t="shared" si="18"/>
        <v>5.3102401279811948</v>
      </c>
      <c r="J225">
        <f t="shared" si="19"/>
        <v>9.4067015063018751</v>
      </c>
      <c r="K225">
        <f t="shared" si="20"/>
        <v>0.86</v>
      </c>
      <c r="L225">
        <f t="shared" si="21"/>
        <v>9.1424183006535937</v>
      </c>
      <c r="M225">
        <f t="shared" si="22"/>
        <v>11.675247892821654</v>
      </c>
      <c r="N225">
        <f t="shared" si="23"/>
        <v>1067.5247892821653</v>
      </c>
    </row>
    <row r="226" spans="1:14" x14ac:dyDescent="0.3">
      <c r="A226" s="1">
        <v>46084</v>
      </c>
      <c r="B226" t="s">
        <v>20</v>
      </c>
      <c r="C226" t="s">
        <v>57</v>
      </c>
      <c r="D226">
        <v>61031</v>
      </c>
      <c r="E226">
        <v>549</v>
      </c>
      <c r="F226">
        <v>1092.51</v>
      </c>
      <c r="G226">
        <v>15</v>
      </c>
      <c r="H226">
        <v>1280.0999999999999</v>
      </c>
      <c r="I226">
        <f t="shared" si="18"/>
        <v>0.89954285527027256</v>
      </c>
      <c r="J226">
        <f t="shared" si="19"/>
        <v>2.7322404371584699</v>
      </c>
      <c r="K226">
        <f t="shared" si="20"/>
        <v>1.99</v>
      </c>
      <c r="L226">
        <f t="shared" si="21"/>
        <v>72.834000000000003</v>
      </c>
      <c r="M226">
        <f t="shared" si="22"/>
        <v>1.1717055221462502</v>
      </c>
      <c r="N226">
        <f t="shared" si="23"/>
        <v>17.170552214625033</v>
      </c>
    </row>
    <row r="227" spans="1:14" x14ac:dyDescent="0.3">
      <c r="A227" s="1">
        <v>46065</v>
      </c>
      <c r="B227" t="s">
        <v>15</v>
      </c>
      <c r="C227" t="s">
        <v>14</v>
      </c>
      <c r="D227">
        <v>33498</v>
      </c>
      <c r="E227">
        <v>251</v>
      </c>
      <c r="F227">
        <v>421.68</v>
      </c>
      <c r="G227">
        <v>8</v>
      </c>
      <c r="H227">
        <v>1068</v>
      </c>
      <c r="I227">
        <f t="shared" si="18"/>
        <v>0.74929846558003466</v>
      </c>
      <c r="J227">
        <f t="shared" si="19"/>
        <v>3.1872509960159361</v>
      </c>
      <c r="K227">
        <f t="shared" si="20"/>
        <v>1.68</v>
      </c>
      <c r="L227">
        <f t="shared" si="21"/>
        <v>52.71</v>
      </c>
      <c r="M227">
        <f t="shared" si="22"/>
        <v>2.5327262379055209</v>
      </c>
      <c r="N227">
        <f t="shared" si="23"/>
        <v>153.27262379055207</v>
      </c>
    </row>
    <row r="228" spans="1:14" x14ac:dyDescent="0.3">
      <c r="A228" s="1">
        <v>46099</v>
      </c>
      <c r="B228" t="s">
        <v>8</v>
      </c>
      <c r="C228" t="s">
        <v>9</v>
      </c>
      <c r="D228">
        <v>11667</v>
      </c>
      <c r="E228">
        <v>494</v>
      </c>
      <c r="F228">
        <v>1659.84</v>
      </c>
      <c r="G228">
        <v>46</v>
      </c>
      <c r="H228">
        <v>2765.52</v>
      </c>
      <c r="I228">
        <f t="shared" si="18"/>
        <v>4.2341647381503389</v>
      </c>
      <c r="J228">
        <f t="shared" si="19"/>
        <v>9.3117408906882595</v>
      </c>
      <c r="K228">
        <f t="shared" si="20"/>
        <v>3.36</v>
      </c>
      <c r="L228">
        <f t="shared" si="21"/>
        <v>36.083478260869562</v>
      </c>
      <c r="M228">
        <f t="shared" si="22"/>
        <v>1.6661364950838635</v>
      </c>
      <c r="N228">
        <f t="shared" si="23"/>
        <v>66.613649508386345</v>
      </c>
    </row>
    <row r="229" spans="1:14" x14ac:dyDescent="0.3">
      <c r="A229" s="1">
        <v>46118</v>
      </c>
      <c r="B229" t="s">
        <v>18</v>
      </c>
      <c r="C229" t="s">
        <v>59</v>
      </c>
      <c r="D229">
        <v>84389</v>
      </c>
      <c r="E229">
        <v>3443</v>
      </c>
      <c r="F229">
        <v>11155.32</v>
      </c>
      <c r="G229">
        <v>34</v>
      </c>
      <c r="H229">
        <v>6058.46</v>
      </c>
      <c r="I229">
        <f t="shared" si="18"/>
        <v>4.0799156288141818</v>
      </c>
      <c r="J229">
        <f t="shared" si="19"/>
        <v>0.98751089166424633</v>
      </c>
      <c r="K229">
        <f t="shared" si="20"/>
        <v>3.2399999999999998</v>
      </c>
      <c r="L229">
        <f t="shared" si="21"/>
        <v>328.0976470588235</v>
      </c>
      <c r="M229">
        <f t="shared" si="22"/>
        <v>0.54310051168411122</v>
      </c>
      <c r="N229">
        <f t="shared" si="23"/>
        <v>-45.689948831588872</v>
      </c>
    </row>
    <row r="230" spans="1:14" x14ac:dyDescent="0.3">
      <c r="A230" s="1">
        <v>46135</v>
      </c>
      <c r="B230" t="s">
        <v>26</v>
      </c>
      <c r="C230" t="s">
        <v>31</v>
      </c>
      <c r="D230">
        <v>56020</v>
      </c>
      <c r="E230">
        <v>1557</v>
      </c>
      <c r="F230">
        <v>342.54</v>
      </c>
      <c r="G230">
        <v>128</v>
      </c>
      <c r="H230">
        <v>24584.959999999999</v>
      </c>
      <c r="I230">
        <f t="shared" si="18"/>
        <v>2.7793645126740452</v>
      </c>
      <c r="J230">
        <f t="shared" si="19"/>
        <v>8.2209377007064859</v>
      </c>
      <c r="K230">
        <f t="shared" si="20"/>
        <v>0.22</v>
      </c>
      <c r="L230">
        <f t="shared" si="21"/>
        <v>2.6760937500000002</v>
      </c>
      <c r="M230">
        <f t="shared" si="22"/>
        <v>71.77252291703158</v>
      </c>
      <c r="N230">
        <f t="shared" si="23"/>
        <v>7077.2522917031583</v>
      </c>
    </row>
    <row r="231" spans="1:14" x14ac:dyDescent="0.3">
      <c r="A231" s="1">
        <v>46030</v>
      </c>
      <c r="B231" t="s">
        <v>22</v>
      </c>
      <c r="C231" t="s">
        <v>46</v>
      </c>
      <c r="D231">
        <v>68204</v>
      </c>
      <c r="E231">
        <v>3096</v>
      </c>
      <c r="F231">
        <v>10433.52</v>
      </c>
      <c r="G231">
        <v>345</v>
      </c>
      <c r="H231">
        <v>12923.7</v>
      </c>
      <c r="I231">
        <f t="shared" si="18"/>
        <v>4.5393232068500389</v>
      </c>
      <c r="J231">
        <f t="shared" si="19"/>
        <v>11.143410852713179</v>
      </c>
      <c r="K231">
        <f t="shared" si="20"/>
        <v>3.37</v>
      </c>
      <c r="L231">
        <f t="shared" si="21"/>
        <v>30.242086956521739</v>
      </c>
      <c r="M231">
        <f t="shared" si="22"/>
        <v>1.2386711292066339</v>
      </c>
      <c r="N231">
        <f t="shared" si="23"/>
        <v>23.867112920663402</v>
      </c>
    </row>
    <row r="232" spans="1:14" x14ac:dyDescent="0.3">
      <c r="A232" s="1">
        <v>46060</v>
      </c>
      <c r="B232" t="s">
        <v>26</v>
      </c>
      <c r="C232" t="s">
        <v>37</v>
      </c>
      <c r="D232">
        <v>3632</v>
      </c>
      <c r="E232">
        <v>34</v>
      </c>
      <c r="F232">
        <v>59.5</v>
      </c>
      <c r="G232">
        <v>2</v>
      </c>
      <c r="H232">
        <v>466.3</v>
      </c>
      <c r="I232">
        <f t="shared" si="18"/>
        <v>0.93612334801762109</v>
      </c>
      <c r="J232">
        <f t="shared" si="19"/>
        <v>5.8823529411764701</v>
      </c>
      <c r="K232">
        <f t="shared" si="20"/>
        <v>1.75</v>
      </c>
      <c r="L232">
        <f t="shared" si="21"/>
        <v>29.75</v>
      </c>
      <c r="M232">
        <f t="shared" si="22"/>
        <v>7.836974789915967</v>
      </c>
      <c r="N232">
        <f t="shared" si="23"/>
        <v>683.69747899159665</v>
      </c>
    </row>
    <row r="233" spans="1:14" x14ac:dyDescent="0.3">
      <c r="A233" s="1">
        <v>46061</v>
      </c>
      <c r="B233" t="s">
        <v>8</v>
      </c>
      <c r="C233" t="s">
        <v>52</v>
      </c>
      <c r="D233">
        <v>4533</v>
      </c>
      <c r="E233">
        <v>58</v>
      </c>
      <c r="F233">
        <v>119.48</v>
      </c>
      <c r="G233">
        <v>1</v>
      </c>
      <c r="H233">
        <v>222.99</v>
      </c>
      <c r="I233">
        <f t="shared" si="18"/>
        <v>1.2795058460180895</v>
      </c>
      <c r="J233">
        <f t="shared" si="19"/>
        <v>1.7241379310344827</v>
      </c>
      <c r="K233">
        <f t="shared" si="20"/>
        <v>2.06</v>
      </c>
      <c r="L233">
        <f t="shared" si="21"/>
        <v>119.48</v>
      </c>
      <c r="M233">
        <f t="shared" si="22"/>
        <v>1.8663374623367928</v>
      </c>
      <c r="N233">
        <f t="shared" si="23"/>
        <v>86.633746233679275</v>
      </c>
    </row>
    <row r="234" spans="1:14" x14ac:dyDescent="0.3">
      <c r="A234" s="1">
        <v>46054</v>
      </c>
      <c r="B234" t="s">
        <v>11</v>
      </c>
      <c r="C234" t="s">
        <v>48</v>
      </c>
      <c r="D234">
        <v>70319</v>
      </c>
      <c r="E234">
        <v>774</v>
      </c>
      <c r="F234">
        <v>1942.74</v>
      </c>
      <c r="G234">
        <v>33</v>
      </c>
      <c r="H234">
        <v>725.01</v>
      </c>
      <c r="I234">
        <f t="shared" si="18"/>
        <v>1.1006982465620956</v>
      </c>
      <c r="J234">
        <f t="shared" si="19"/>
        <v>4.2635658914728678</v>
      </c>
      <c r="K234">
        <f t="shared" si="20"/>
        <v>2.5100000000000002</v>
      </c>
      <c r="L234">
        <f t="shared" si="21"/>
        <v>58.870909090909095</v>
      </c>
      <c r="M234">
        <f t="shared" si="22"/>
        <v>0.37318941289107138</v>
      </c>
      <c r="N234">
        <f t="shared" si="23"/>
        <v>-62.68105871089287</v>
      </c>
    </row>
    <row r="235" spans="1:14" x14ac:dyDescent="0.3">
      <c r="A235" s="1">
        <v>46117</v>
      </c>
      <c r="B235" t="s">
        <v>8</v>
      </c>
      <c r="C235" t="s">
        <v>34</v>
      </c>
      <c r="D235">
        <v>2196</v>
      </c>
      <c r="E235">
        <v>97</v>
      </c>
      <c r="F235">
        <v>207.58</v>
      </c>
      <c r="G235">
        <v>2</v>
      </c>
      <c r="H235">
        <v>399.84</v>
      </c>
      <c r="I235">
        <f t="shared" si="18"/>
        <v>4.4171220400728597</v>
      </c>
      <c r="J235">
        <f t="shared" si="19"/>
        <v>2.0618556701030926</v>
      </c>
      <c r="K235">
        <f t="shared" si="20"/>
        <v>2.14</v>
      </c>
      <c r="L235">
        <f t="shared" si="21"/>
        <v>103.79</v>
      </c>
      <c r="M235">
        <f t="shared" si="22"/>
        <v>1.926197128817805</v>
      </c>
      <c r="N235">
        <f t="shared" si="23"/>
        <v>92.619712881780487</v>
      </c>
    </row>
    <row r="236" spans="1:14" x14ac:dyDescent="0.3">
      <c r="A236" s="1">
        <v>46127</v>
      </c>
      <c r="B236" t="s">
        <v>11</v>
      </c>
      <c r="C236" t="s">
        <v>58</v>
      </c>
      <c r="D236">
        <v>77295</v>
      </c>
      <c r="E236">
        <v>2481</v>
      </c>
      <c r="F236">
        <v>2977.2</v>
      </c>
      <c r="G236">
        <v>196</v>
      </c>
      <c r="H236">
        <v>15203.72</v>
      </c>
      <c r="I236">
        <f t="shared" si="18"/>
        <v>3.2097807102658646</v>
      </c>
      <c r="J236">
        <f t="shared" si="19"/>
        <v>7.9000403063280933</v>
      </c>
      <c r="K236">
        <f t="shared" si="20"/>
        <v>1.2</v>
      </c>
      <c r="L236">
        <f t="shared" si="21"/>
        <v>15.189795918367347</v>
      </c>
      <c r="M236">
        <f t="shared" si="22"/>
        <v>5.1067177213489181</v>
      </c>
      <c r="N236">
        <f t="shared" si="23"/>
        <v>410.67177213489191</v>
      </c>
    </row>
    <row r="237" spans="1:14" x14ac:dyDescent="0.3">
      <c r="A237" s="1">
        <v>46135</v>
      </c>
      <c r="B237" t="s">
        <v>11</v>
      </c>
      <c r="C237" t="s">
        <v>55</v>
      </c>
      <c r="D237">
        <v>79101</v>
      </c>
      <c r="E237">
        <v>4311</v>
      </c>
      <c r="F237">
        <v>14614.29</v>
      </c>
      <c r="G237">
        <v>75</v>
      </c>
      <c r="H237">
        <v>14719.5</v>
      </c>
      <c r="I237">
        <f t="shared" si="18"/>
        <v>5.4499943110706566</v>
      </c>
      <c r="J237">
        <f t="shared" si="19"/>
        <v>1.7397355601948505</v>
      </c>
      <c r="K237">
        <f t="shared" si="20"/>
        <v>3.39</v>
      </c>
      <c r="L237">
        <f t="shared" si="21"/>
        <v>194.85720000000001</v>
      </c>
      <c r="M237">
        <f t="shared" si="22"/>
        <v>1.0071991181234257</v>
      </c>
      <c r="N237">
        <f t="shared" si="23"/>
        <v>0.71991181234257096</v>
      </c>
    </row>
    <row r="238" spans="1:14" x14ac:dyDescent="0.3">
      <c r="A238" s="1">
        <v>46029</v>
      </c>
      <c r="B238" t="s">
        <v>18</v>
      </c>
      <c r="C238" t="s">
        <v>29</v>
      </c>
      <c r="D238">
        <v>81933</v>
      </c>
      <c r="E238">
        <v>3703</v>
      </c>
      <c r="F238">
        <v>9701.86</v>
      </c>
      <c r="G238">
        <v>38</v>
      </c>
      <c r="H238">
        <v>2381.46</v>
      </c>
      <c r="I238">
        <f t="shared" si="18"/>
        <v>4.5195464586918579</v>
      </c>
      <c r="J238">
        <f t="shared" si="19"/>
        <v>1.0261949770456387</v>
      </c>
      <c r="K238">
        <f t="shared" si="20"/>
        <v>2.62</v>
      </c>
      <c r="L238">
        <f t="shared" si="21"/>
        <v>255.31210526315792</v>
      </c>
      <c r="M238">
        <f t="shared" si="22"/>
        <v>0.24546427179942815</v>
      </c>
      <c r="N238">
        <f t="shared" si="23"/>
        <v>-75.45357282005719</v>
      </c>
    </row>
    <row r="239" spans="1:14" x14ac:dyDescent="0.3">
      <c r="A239" s="1">
        <v>46094</v>
      </c>
      <c r="B239" t="s">
        <v>18</v>
      </c>
      <c r="C239" t="s">
        <v>24</v>
      </c>
      <c r="D239">
        <v>18489</v>
      </c>
      <c r="E239">
        <v>386</v>
      </c>
      <c r="F239">
        <v>1130.98</v>
      </c>
      <c r="G239">
        <v>39</v>
      </c>
      <c r="H239">
        <v>6870.24</v>
      </c>
      <c r="I239">
        <f t="shared" si="18"/>
        <v>2.0877278381740494</v>
      </c>
      <c r="J239">
        <f t="shared" si="19"/>
        <v>10.103626943005182</v>
      </c>
      <c r="K239">
        <f t="shared" si="20"/>
        <v>2.93</v>
      </c>
      <c r="L239">
        <f t="shared" si="21"/>
        <v>28.999487179487179</v>
      </c>
      <c r="M239">
        <f t="shared" si="22"/>
        <v>6.0745901784293261</v>
      </c>
      <c r="N239">
        <f t="shared" si="23"/>
        <v>507.45901784293272</v>
      </c>
    </row>
    <row r="240" spans="1:14" x14ac:dyDescent="0.3">
      <c r="A240" s="1">
        <v>46073</v>
      </c>
      <c r="B240" t="s">
        <v>18</v>
      </c>
      <c r="C240" t="s">
        <v>31</v>
      </c>
      <c r="D240">
        <v>79291</v>
      </c>
      <c r="E240">
        <v>2418</v>
      </c>
      <c r="F240">
        <v>1233.18</v>
      </c>
      <c r="G240">
        <v>163</v>
      </c>
      <c r="H240">
        <v>4251.04</v>
      </c>
      <c r="I240">
        <f t="shared" si="18"/>
        <v>3.0495264279678653</v>
      </c>
      <c r="J240">
        <f t="shared" si="19"/>
        <v>6.7411083540115797</v>
      </c>
      <c r="K240">
        <f t="shared" si="20"/>
        <v>0.51</v>
      </c>
      <c r="L240">
        <f t="shared" si="21"/>
        <v>7.5655214723926383</v>
      </c>
      <c r="M240">
        <f t="shared" si="22"/>
        <v>3.4472177622082745</v>
      </c>
      <c r="N240">
        <f t="shared" si="23"/>
        <v>244.72177622082739</v>
      </c>
    </row>
    <row r="241" spans="1:14" x14ac:dyDescent="0.3">
      <c r="A241" s="1">
        <v>46059</v>
      </c>
      <c r="B241" t="s">
        <v>11</v>
      </c>
      <c r="C241" t="s">
        <v>41</v>
      </c>
      <c r="D241">
        <v>74441</v>
      </c>
      <c r="E241">
        <v>3127</v>
      </c>
      <c r="F241">
        <v>3627.32</v>
      </c>
      <c r="G241">
        <v>72</v>
      </c>
      <c r="H241">
        <v>7534.08</v>
      </c>
      <c r="I241">
        <f t="shared" si="18"/>
        <v>4.2006421192622341</v>
      </c>
      <c r="J241">
        <f t="shared" si="19"/>
        <v>2.3025263831148064</v>
      </c>
      <c r="K241">
        <f t="shared" si="20"/>
        <v>1.1600000000000001</v>
      </c>
      <c r="L241">
        <f t="shared" si="21"/>
        <v>50.379444444444445</v>
      </c>
      <c r="M241">
        <f t="shared" si="22"/>
        <v>2.0770375924925286</v>
      </c>
      <c r="N241">
        <f t="shared" si="23"/>
        <v>107.70375924925288</v>
      </c>
    </row>
    <row r="242" spans="1:14" x14ac:dyDescent="0.3">
      <c r="A242" s="1">
        <v>46135</v>
      </c>
      <c r="B242" t="s">
        <v>26</v>
      </c>
      <c r="C242" t="s">
        <v>43</v>
      </c>
      <c r="D242">
        <v>27544</v>
      </c>
      <c r="E242">
        <v>1556</v>
      </c>
      <c r="F242">
        <v>2380.6799999999998</v>
      </c>
      <c r="G242">
        <v>101</v>
      </c>
      <c r="H242">
        <v>5069.1899999999996</v>
      </c>
      <c r="I242">
        <f t="shared" si="18"/>
        <v>5.6491431890792914</v>
      </c>
      <c r="J242">
        <f t="shared" si="19"/>
        <v>6.4910025706940875</v>
      </c>
      <c r="K242">
        <f t="shared" si="20"/>
        <v>1.5299999999999998</v>
      </c>
      <c r="L242">
        <f t="shared" si="21"/>
        <v>23.57108910891089</v>
      </c>
      <c r="M242">
        <f t="shared" si="22"/>
        <v>2.12930339230808</v>
      </c>
      <c r="N242">
        <f t="shared" si="23"/>
        <v>112.930339230808</v>
      </c>
    </row>
    <row r="243" spans="1:14" x14ac:dyDescent="0.3">
      <c r="A243" s="1">
        <v>46079</v>
      </c>
      <c r="B243" t="s">
        <v>22</v>
      </c>
      <c r="C243" t="s">
        <v>19</v>
      </c>
      <c r="D243">
        <v>56638</v>
      </c>
      <c r="E243">
        <v>2316</v>
      </c>
      <c r="F243">
        <v>1273.8</v>
      </c>
      <c r="G243">
        <v>217</v>
      </c>
      <c r="H243">
        <v>35264.67</v>
      </c>
      <c r="I243">
        <f t="shared" si="18"/>
        <v>4.089127440940711</v>
      </c>
      <c r="J243">
        <f t="shared" si="19"/>
        <v>9.3696027633851475</v>
      </c>
      <c r="K243">
        <f t="shared" si="20"/>
        <v>0.54999999999999993</v>
      </c>
      <c r="L243">
        <f t="shared" si="21"/>
        <v>5.8700460829493082</v>
      </c>
      <c r="M243">
        <f t="shared" si="22"/>
        <v>27.684620819594912</v>
      </c>
      <c r="N243">
        <f t="shared" si="23"/>
        <v>2668.4620819594911</v>
      </c>
    </row>
    <row r="244" spans="1:14" x14ac:dyDescent="0.3">
      <c r="A244" s="1">
        <v>46140</v>
      </c>
      <c r="B244" t="s">
        <v>8</v>
      </c>
      <c r="C244" t="s">
        <v>46</v>
      </c>
      <c r="D244">
        <v>2077</v>
      </c>
      <c r="E244">
        <v>17</v>
      </c>
      <c r="F244">
        <v>55.42</v>
      </c>
      <c r="G244">
        <v>1</v>
      </c>
      <c r="H244">
        <v>171.08</v>
      </c>
      <c r="I244">
        <f t="shared" si="18"/>
        <v>0.81848820414058743</v>
      </c>
      <c r="J244">
        <f t="shared" si="19"/>
        <v>5.8823529411764701</v>
      </c>
      <c r="K244">
        <f t="shared" si="20"/>
        <v>3.2600000000000002</v>
      </c>
      <c r="L244">
        <f t="shared" si="21"/>
        <v>55.42</v>
      </c>
      <c r="M244">
        <f t="shared" si="22"/>
        <v>3.0869722121977627</v>
      </c>
      <c r="N244">
        <f t="shared" si="23"/>
        <v>208.69722121977628</v>
      </c>
    </row>
    <row r="245" spans="1:14" x14ac:dyDescent="0.3">
      <c r="A245" s="1">
        <v>46091</v>
      </c>
      <c r="B245" t="s">
        <v>18</v>
      </c>
      <c r="C245" t="s">
        <v>32</v>
      </c>
      <c r="D245">
        <v>71742</v>
      </c>
      <c r="E245">
        <v>2023</v>
      </c>
      <c r="F245">
        <v>3337.95</v>
      </c>
      <c r="G245">
        <v>41</v>
      </c>
      <c r="H245">
        <v>1386.21</v>
      </c>
      <c r="I245">
        <f t="shared" si="18"/>
        <v>2.8198266008753587</v>
      </c>
      <c r="J245">
        <f t="shared" si="19"/>
        <v>2.026693030153238</v>
      </c>
      <c r="K245">
        <f t="shared" si="20"/>
        <v>1.65</v>
      </c>
      <c r="L245">
        <f t="shared" si="21"/>
        <v>81.413414634146335</v>
      </c>
      <c r="M245">
        <f t="shared" si="22"/>
        <v>0.41528782636049077</v>
      </c>
      <c r="N245">
        <f t="shared" si="23"/>
        <v>-58.47121736395092</v>
      </c>
    </row>
    <row r="246" spans="1:14" x14ac:dyDescent="0.3">
      <c r="A246" s="1">
        <v>46035</v>
      </c>
      <c r="B246" t="s">
        <v>11</v>
      </c>
      <c r="C246" t="s">
        <v>25</v>
      </c>
      <c r="D246">
        <v>43187</v>
      </c>
      <c r="E246">
        <v>1365</v>
      </c>
      <c r="F246">
        <v>2770.95</v>
      </c>
      <c r="G246">
        <v>15</v>
      </c>
      <c r="H246">
        <v>2034</v>
      </c>
      <c r="I246">
        <f t="shared" si="18"/>
        <v>3.1606733507768539</v>
      </c>
      <c r="J246">
        <f t="shared" si="19"/>
        <v>1.098901098901099</v>
      </c>
      <c r="K246">
        <f t="shared" si="20"/>
        <v>2.0299999999999998</v>
      </c>
      <c r="L246">
        <f t="shared" si="21"/>
        <v>184.73</v>
      </c>
      <c r="M246">
        <f t="shared" si="22"/>
        <v>0.73404428084231044</v>
      </c>
      <c r="N246">
        <f t="shared" si="23"/>
        <v>-26.595571915768957</v>
      </c>
    </row>
    <row r="247" spans="1:14" x14ac:dyDescent="0.3">
      <c r="A247" s="1">
        <v>46040</v>
      </c>
      <c r="B247" t="s">
        <v>26</v>
      </c>
      <c r="C247" t="s">
        <v>50</v>
      </c>
      <c r="D247">
        <v>88587</v>
      </c>
      <c r="E247">
        <v>3570</v>
      </c>
      <c r="F247">
        <v>1178.0999999999999</v>
      </c>
      <c r="G247">
        <v>65</v>
      </c>
      <c r="H247">
        <v>6819.15</v>
      </c>
      <c r="I247">
        <f t="shared" si="18"/>
        <v>4.0299366724237187</v>
      </c>
      <c r="J247">
        <f t="shared" si="19"/>
        <v>1.8207282913165268</v>
      </c>
      <c r="K247">
        <f t="shared" si="20"/>
        <v>0.32999999999999996</v>
      </c>
      <c r="L247">
        <f t="shared" si="21"/>
        <v>18.124615384615382</v>
      </c>
      <c r="M247">
        <f t="shared" si="22"/>
        <v>5.7882607588489945</v>
      </c>
      <c r="N247">
        <f t="shared" si="23"/>
        <v>478.82607588489935</v>
      </c>
    </row>
    <row r="248" spans="1:14" x14ac:dyDescent="0.3">
      <c r="A248" s="1">
        <v>46047</v>
      </c>
      <c r="B248" t="s">
        <v>22</v>
      </c>
      <c r="C248" t="s">
        <v>57</v>
      </c>
      <c r="D248">
        <v>86520</v>
      </c>
      <c r="E248">
        <v>1635</v>
      </c>
      <c r="F248">
        <v>2616</v>
      </c>
      <c r="G248">
        <v>174</v>
      </c>
      <c r="H248">
        <v>34878.300000000003</v>
      </c>
      <c r="I248">
        <f t="shared" si="18"/>
        <v>1.8897364771151177</v>
      </c>
      <c r="J248">
        <f t="shared" si="19"/>
        <v>10.642201834862385</v>
      </c>
      <c r="K248">
        <f t="shared" si="20"/>
        <v>1.6</v>
      </c>
      <c r="L248">
        <f t="shared" si="21"/>
        <v>15.03448275862069</v>
      </c>
      <c r="M248">
        <f t="shared" si="22"/>
        <v>13.332683486238533</v>
      </c>
      <c r="N248">
        <f t="shared" si="23"/>
        <v>1233.2683486238534</v>
      </c>
    </row>
    <row r="249" spans="1:14" x14ac:dyDescent="0.3">
      <c r="A249" s="1">
        <v>46086</v>
      </c>
      <c r="B249" t="s">
        <v>18</v>
      </c>
      <c r="C249" t="s">
        <v>51</v>
      </c>
      <c r="D249">
        <v>38574</v>
      </c>
      <c r="E249">
        <v>1053</v>
      </c>
      <c r="F249">
        <v>231.66</v>
      </c>
      <c r="G249">
        <v>89</v>
      </c>
      <c r="H249">
        <v>17707.439999999999</v>
      </c>
      <c r="I249">
        <f t="shared" si="18"/>
        <v>2.7298180121325242</v>
      </c>
      <c r="J249">
        <f t="shared" si="19"/>
        <v>8.4520417853751173</v>
      </c>
      <c r="K249">
        <f t="shared" si="20"/>
        <v>0.22</v>
      </c>
      <c r="L249">
        <f t="shared" si="21"/>
        <v>2.6029213483146068</v>
      </c>
      <c r="M249">
        <f t="shared" si="22"/>
        <v>76.437192437192437</v>
      </c>
      <c r="N249">
        <f t="shared" si="23"/>
        <v>7543.7192437192434</v>
      </c>
    </row>
    <row r="250" spans="1:14" x14ac:dyDescent="0.3">
      <c r="A250" s="1">
        <v>46124</v>
      </c>
      <c r="B250" t="s">
        <v>20</v>
      </c>
      <c r="C250" t="s">
        <v>36</v>
      </c>
      <c r="D250">
        <v>31758</v>
      </c>
      <c r="E250">
        <v>940</v>
      </c>
      <c r="F250">
        <v>1043.4000000000001</v>
      </c>
      <c r="G250">
        <v>43</v>
      </c>
      <c r="H250">
        <v>2514.64</v>
      </c>
      <c r="I250">
        <f t="shared" si="18"/>
        <v>2.9598841236853706</v>
      </c>
      <c r="J250">
        <f t="shared" si="19"/>
        <v>4.5744680851063828</v>
      </c>
      <c r="K250">
        <f t="shared" si="20"/>
        <v>1.1100000000000001</v>
      </c>
      <c r="L250">
        <f t="shared" si="21"/>
        <v>24.265116279069769</v>
      </c>
      <c r="M250">
        <f t="shared" si="22"/>
        <v>2.4100440866398309</v>
      </c>
      <c r="N250">
        <f t="shared" si="23"/>
        <v>141.0044086639831</v>
      </c>
    </row>
    <row r="251" spans="1:14" x14ac:dyDescent="0.3">
      <c r="A251" s="1">
        <v>46133</v>
      </c>
      <c r="B251" t="s">
        <v>18</v>
      </c>
      <c r="C251" t="s">
        <v>41</v>
      </c>
      <c r="D251">
        <v>10499</v>
      </c>
      <c r="E251">
        <v>59</v>
      </c>
      <c r="F251">
        <v>73.16</v>
      </c>
      <c r="G251">
        <v>1</v>
      </c>
      <c r="H251">
        <v>145.78</v>
      </c>
      <c r="I251">
        <f t="shared" si="18"/>
        <v>0.56195828174111817</v>
      </c>
      <c r="J251">
        <f t="shared" si="19"/>
        <v>1.6949152542372881</v>
      </c>
      <c r="K251">
        <f t="shared" si="20"/>
        <v>1.24</v>
      </c>
      <c r="L251">
        <f t="shared" si="21"/>
        <v>73.16</v>
      </c>
      <c r="M251">
        <f t="shared" si="22"/>
        <v>1.9926189174412248</v>
      </c>
      <c r="N251">
        <f t="shared" si="23"/>
        <v>99.26189174412248</v>
      </c>
    </row>
    <row r="252" spans="1:14" x14ac:dyDescent="0.3">
      <c r="A252" s="1">
        <v>46070</v>
      </c>
      <c r="B252" t="s">
        <v>18</v>
      </c>
      <c r="C252" t="s">
        <v>29</v>
      </c>
      <c r="D252">
        <v>7614</v>
      </c>
      <c r="E252">
        <v>171</v>
      </c>
      <c r="F252">
        <v>543.78</v>
      </c>
      <c r="G252">
        <v>10</v>
      </c>
      <c r="H252">
        <v>256.3</v>
      </c>
      <c r="I252">
        <f t="shared" si="18"/>
        <v>2.2458628841607564</v>
      </c>
      <c r="J252">
        <f t="shared" si="19"/>
        <v>5.8479532163742682</v>
      </c>
      <c r="K252">
        <f t="shared" si="20"/>
        <v>3.1799999999999997</v>
      </c>
      <c r="L252">
        <f t="shared" si="21"/>
        <v>54.378</v>
      </c>
      <c r="M252">
        <f t="shared" si="22"/>
        <v>0.47133031740777526</v>
      </c>
      <c r="N252">
        <f t="shared" si="23"/>
        <v>-52.866968259222482</v>
      </c>
    </row>
    <row r="253" spans="1:14" x14ac:dyDescent="0.3">
      <c r="A253" s="1">
        <v>46043</v>
      </c>
      <c r="B253" t="s">
        <v>22</v>
      </c>
      <c r="C253" t="s">
        <v>48</v>
      </c>
      <c r="D253">
        <v>66402</v>
      </c>
      <c r="E253">
        <v>3154</v>
      </c>
      <c r="F253">
        <v>9209.68</v>
      </c>
      <c r="G253">
        <v>226</v>
      </c>
      <c r="H253">
        <v>33014.080000000002</v>
      </c>
      <c r="I253">
        <f t="shared" si="18"/>
        <v>4.74985693202012</v>
      </c>
      <c r="J253">
        <f t="shared" si="19"/>
        <v>7.1655041217501587</v>
      </c>
      <c r="K253">
        <f t="shared" si="20"/>
        <v>2.92</v>
      </c>
      <c r="L253">
        <f t="shared" si="21"/>
        <v>40.750796460176993</v>
      </c>
      <c r="M253">
        <f t="shared" si="22"/>
        <v>3.5847152126892574</v>
      </c>
      <c r="N253">
        <f t="shared" si="23"/>
        <v>258.47152126892576</v>
      </c>
    </row>
    <row r="254" spans="1:14" x14ac:dyDescent="0.3">
      <c r="A254" s="1">
        <v>46137</v>
      </c>
      <c r="B254" t="s">
        <v>20</v>
      </c>
      <c r="C254" t="s">
        <v>23</v>
      </c>
      <c r="D254">
        <v>64438</v>
      </c>
      <c r="E254">
        <v>754</v>
      </c>
      <c r="F254">
        <v>897.26</v>
      </c>
      <c r="G254">
        <v>47</v>
      </c>
      <c r="H254">
        <v>4154.33</v>
      </c>
      <c r="I254">
        <f t="shared" si="18"/>
        <v>1.1701170117011701</v>
      </c>
      <c r="J254">
        <f t="shared" si="19"/>
        <v>6.2334217506631298</v>
      </c>
      <c r="K254">
        <f t="shared" si="20"/>
        <v>1.19</v>
      </c>
      <c r="L254">
        <f t="shared" si="21"/>
        <v>19.090638297872339</v>
      </c>
      <c r="M254">
        <f t="shared" si="22"/>
        <v>4.6300180549673451</v>
      </c>
      <c r="N254">
        <f t="shared" si="23"/>
        <v>363.00180549673445</v>
      </c>
    </row>
    <row r="255" spans="1:14" x14ac:dyDescent="0.3">
      <c r="A255" s="1">
        <v>46089</v>
      </c>
      <c r="B255" t="s">
        <v>11</v>
      </c>
      <c r="C255" t="s">
        <v>14</v>
      </c>
      <c r="D255">
        <v>31700</v>
      </c>
      <c r="E255">
        <v>1674</v>
      </c>
      <c r="F255">
        <v>1540.08</v>
      </c>
      <c r="G255">
        <v>180</v>
      </c>
      <c r="H255">
        <v>14895</v>
      </c>
      <c r="I255">
        <f t="shared" si="18"/>
        <v>5.2807570977917981</v>
      </c>
      <c r="J255">
        <f t="shared" si="19"/>
        <v>10.75268817204301</v>
      </c>
      <c r="K255">
        <f t="shared" si="20"/>
        <v>0.91999999999999993</v>
      </c>
      <c r="L255">
        <f t="shared" si="21"/>
        <v>8.5559999999999992</v>
      </c>
      <c r="M255">
        <f t="shared" si="22"/>
        <v>9.6715755025712955</v>
      </c>
      <c r="N255">
        <f t="shared" si="23"/>
        <v>867.15755025712951</v>
      </c>
    </row>
    <row r="256" spans="1:14" x14ac:dyDescent="0.3">
      <c r="A256" s="1">
        <v>46052</v>
      </c>
      <c r="B256" t="s">
        <v>26</v>
      </c>
      <c r="C256" t="s">
        <v>25</v>
      </c>
      <c r="D256">
        <v>71078</v>
      </c>
      <c r="E256">
        <v>2132</v>
      </c>
      <c r="F256">
        <v>767.52</v>
      </c>
      <c r="G256">
        <v>47</v>
      </c>
      <c r="H256">
        <v>9001.44</v>
      </c>
      <c r="I256">
        <f t="shared" si="18"/>
        <v>2.9995216522693378</v>
      </c>
      <c r="J256">
        <f t="shared" si="19"/>
        <v>2.204502814258912</v>
      </c>
      <c r="K256">
        <f t="shared" si="20"/>
        <v>0.36</v>
      </c>
      <c r="L256">
        <f t="shared" si="21"/>
        <v>16.330212765957448</v>
      </c>
      <c r="M256">
        <f t="shared" si="22"/>
        <v>11.727954971857411</v>
      </c>
      <c r="N256">
        <f t="shared" si="23"/>
        <v>1072.7954971857412</v>
      </c>
    </row>
    <row r="257" spans="1:14" x14ac:dyDescent="0.3">
      <c r="A257" s="1">
        <v>46137</v>
      </c>
      <c r="B257" t="s">
        <v>11</v>
      </c>
      <c r="C257" t="s">
        <v>47</v>
      </c>
      <c r="D257">
        <v>66624</v>
      </c>
      <c r="E257">
        <v>3957</v>
      </c>
      <c r="F257">
        <v>10565.19</v>
      </c>
      <c r="G257">
        <v>306</v>
      </c>
      <c r="H257">
        <v>6851.34</v>
      </c>
      <c r="I257">
        <f t="shared" si="18"/>
        <v>5.9393011527377517</v>
      </c>
      <c r="J257">
        <f t="shared" si="19"/>
        <v>7.7331311599696733</v>
      </c>
      <c r="K257">
        <f t="shared" si="20"/>
        <v>2.67</v>
      </c>
      <c r="L257">
        <f t="shared" si="21"/>
        <v>34.526764705882357</v>
      </c>
      <c r="M257">
        <f t="shared" si="22"/>
        <v>0.64848242199146444</v>
      </c>
      <c r="N257">
        <f t="shared" si="23"/>
        <v>-35.151757800853559</v>
      </c>
    </row>
    <row r="258" spans="1:14" x14ac:dyDescent="0.3">
      <c r="A258" s="1">
        <v>46039</v>
      </c>
      <c r="B258" t="s">
        <v>18</v>
      </c>
      <c r="C258" t="s">
        <v>55</v>
      </c>
      <c r="D258">
        <v>71403</v>
      </c>
      <c r="E258">
        <v>1942</v>
      </c>
      <c r="F258">
        <v>6350.34</v>
      </c>
      <c r="G258">
        <v>97</v>
      </c>
      <c r="H258">
        <v>20690.099999999999</v>
      </c>
      <c r="I258">
        <f t="shared" si="18"/>
        <v>2.7197736789770737</v>
      </c>
      <c r="J258">
        <f t="shared" si="19"/>
        <v>4.9948506694129762</v>
      </c>
      <c r="K258">
        <f t="shared" si="20"/>
        <v>3.27</v>
      </c>
      <c r="L258">
        <f t="shared" si="21"/>
        <v>65.467422680412369</v>
      </c>
      <c r="M258">
        <f t="shared" si="22"/>
        <v>3.2581090146354366</v>
      </c>
      <c r="N258">
        <f t="shared" si="23"/>
        <v>225.81090146354364</v>
      </c>
    </row>
    <row r="259" spans="1:14" x14ac:dyDescent="0.3">
      <c r="A259" s="1">
        <v>46076</v>
      </c>
      <c r="B259" t="s">
        <v>26</v>
      </c>
      <c r="C259" t="s">
        <v>52</v>
      </c>
      <c r="D259">
        <v>66566</v>
      </c>
      <c r="E259">
        <v>2443</v>
      </c>
      <c r="F259">
        <v>3102.61</v>
      </c>
      <c r="G259">
        <v>44</v>
      </c>
      <c r="H259">
        <v>5178.3599999999997</v>
      </c>
      <c r="I259">
        <f t="shared" ref="I259:I261" si="24">E259/D259*100</f>
        <v>3.670041763062224</v>
      </c>
      <c r="J259">
        <f t="shared" ref="J259:J261" si="25">G259/E259*100</f>
        <v>1.8010642652476463</v>
      </c>
      <c r="K259">
        <f t="shared" ref="K259:K261" si="26">F259/E259</f>
        <v>1.27</v>
      </c>
      <c r="L259">
        <f t="shared" ref="L259:L261" si="27">F259/G259</f>
        <v>70.513863636363638</v>
      </c>
      <c r="M259">
        <f t="shared" ref="M259:M261" si="28">H259/F259</f>
        <v>1.6690334911574447</v>
      </c>
      <c r="N259">
        <f t="shared" ref="N259:N261" si="29">(H259-F259)/F259*100</f>
        <v>66.903349115744476</v>
      </c>
    </row>
    <row r="260" spans="1:14" x14ac:dyDescent="0.3">
      <c r="A260" s="1">
        <v>46077</v>
      </c>
      <c r="B260" t="s">
        <v>18</v>
      </c>
      <c r="C260" t="s">
        <v>38</v>
      </c>
      <c r="D260">
        <v>5778</v>
      </c>
      <c r="E260">
        <v>153</v>
      </c>
      <c r="F260">
        <v>512.54999999999995</v>
      </c>
      <c r="G260">
        <v>5</v>
      </c>
      <c r="H260">
        <v>417.7</v>
      </c>
      <c r="I260">
        <f t="shared" si="24"/>
        <v>2.64797507788162</v>
      </c>
      <c r="J260">
        <f t="shared" si="25"/>
        <v>3.2679738562091507</v>
      </c>
      <c r="K260">
        <f t="shared" si="26"/>
        <v>3.3499999999999996</v>
      </c>
      <c r="L260">
        <f t="shared" si="27"/>
        <v>102.50999999999999</v>
      </c>
      <c r="M260">
        <f t="shared" si="28"/>
        <v>0.81494488342600724</v>
      </c>
      <c r="N260">
        <f t="shared" si="29"/>
        <v>-18.505511657399275</v>
      </c>
    </row>
    <row r="261" spans="1:14" x14ac:dyDescent="0.3">
      <c r="A261" s="1">
        <v>46142</v>
      </c>
      <c r="B261" t="s">
        <v>26</v>
      </c>
      <c r="C261" t="s">
        <v>40</v>
      </c>
      <c r="D261">
        <v>44625</v>
      </c>
      <c r="E261">
        <v>2628</v>
      </c>
      <c r="F261">
        <v>1787.04</v>
      </c>
      <c r="G261">
        <v>161</v>
      </c>
      <c r="H261">
        <v>16030.77</v>
      </c>
      <c r="I261">
        <f t="shared" si="24"/>
        <v>5.8890756302521012</v>
      </c>
      <c r="J261">
        <f t="shared" si="25"/>
        <v>6.1263318112633174</v>
      </c>
      <c r="K261">
        <f t="shared" si="26"/>
        <v>0.67999999999999994</v>
      </c>
      <c r="L261">
        <f t="shared" si="27"/>
        <v>11.099627329192547</v>
      </c>
      <c r="M261">
        <f t="shared" si="28"/>
        <v>8.9705714477571856</v>
      </c>
      <c r="N261">
        <f t="shared" si="29"/>
        <v>797.05714477571848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marketing_campagin_data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Anusha Orsu</cp:lastModifiedBy>
  <dcterms:created xsi:type="dcterms:W3CDTF">2026-09-19T14:02:25Z</dcterms:created>
  <dcterms:modified xsi:type="dcterms:W3CDTF">2026-09-19T15:57:17Z</dcterms:modified>
</cp:coreProperties>
</file>